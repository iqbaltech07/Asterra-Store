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k Aktif" state="visible" r:id="rId4"/>
    <sheet sheetId="2" name="Semua Produk (DB)" state="visible" r:id="rId5"/>
    <sheet sheetId="3" name="Katalog Fallback (JSON)" state="visible" r:id="rId6"/>
  </sheets>
  <calcPr calcId="171027"/>
</workbook>
</file>

<file path=xl/sharedStrings.xml><?xml version="1.0" encoding="utf-8"?>
<sst xmlns="http://schemas.openxmlformats.org/spreadsheetml/2006/main" count="2845" uniqueCount="523">
  <si>
    <t>ASTERRA STORE — KATALOG PRODUK AKTIF</t>
  </si>
  <si>
    <t>Tanggal Ekspor: Kamis, 1 Oktober 2026 | Total Produk Aktif: 37 Produk | Mata Uang: IDR (Rupiah)</t>
  </si>
  <si>
    <t>No</t>
  </si>
  <si>
    <t>Nama Produk</t>
  </si>
  <si>
    <t>Tipe Produk</t>
  </si>
  <si>
    <t>Jenis (Private/Sharing)</t>
  </si>
  <si>
    <t>Status Tersedia</t>
  </si>
  <si>
    <t>Harga Pabrik (Modal)</t>
  </si>
  <si>
    <t>Harga Jual</t>
  </si>
  <si>
    <t>Margin Laba (Rp)</t>
  </si>
  <si>
    <t>Margin (%)</t>
  </si>
  <si>
    <t>Kode Layanan / ID</t>
  </si>
  <si>
    <t>ChatGPT GO Plan 1 Tahun [ Private Account ] [ Garansi 1 Bulan ]</t>
  </si>
  <si>
    <t>AI Tools</t>
  </si>
  <si>
    <t>Private</t>
  </si>
  <si>
    <t>Kosong</t>
  </si>
  <si>
    <t>CHATGPTGO1THNGAR1B-S1</t>
  </si>
  <si>
    <t>ChatGPT GO Plan 1 Tahun [ Private Account ] [ Garansi 6 Bulan ]</t>
  </si>
  <si>
    <t>CHATGPTGO1THNGAR6B-S1</t>
  </si>
  <si>
    <t>Google Gemini AI - Gemini AI Pro 1 Tahun [ Anggota ] [ Garansi 1 Bulan ] [ 5 TB GDRIVE ]</t>
  </si>
  <si>
    <t>Sharing (Invite)</t>
  </si>
  <si>
    <t>Tersedia</t>
  </si>
  <si>
    <t>GEMINIPROINVT1THNGAR1BLN-S2</t>
  </si>
  <si>
    <t>Google Gemini AI - Gemini AI Pro 1 Tahun [ Anggota ] [ Garansi 3 Bulan ] [ 5 TB GDRIVE ]</t>
  </si>
  <si>
    <t>GEMINIPROINVT1THNGAR3BLN-S2</t>
  </si>
  <si>
    <t>Google Gemini AI - Gemini AI Pro 1 Tahun [ Anggota ] [ Garansi 6 Bulan ] [ 5 TB GDRIVE ]</t>
  </si>
  <si>
    <t>GEMINIPROINVT1THNGAR6BLN-S2</t>
  </si>
  <si>
    <t>Google Gemini AI - Gemini AI Pro 1 Tahun [ Head Invite 5 Anggota ] [ Garansi 1 Bulan ] [ 5 TB GDRIVE ]</t>
  </si>
  <si>
    <t>Private (Family Head)</t>
  </si>
  <si>
    <t>GEMINIPROHEAD1THNGAR1BLN-S2</t>
  </si>
  <si>
    <t>Google Gemini AI - Gemini AI Pro 1 Tahun [ Head Invite 5 Anggota ] [ Garansi 3 Bulan ] [ 5 TB GDRIVE ]</t>
  </si>
  <si>
    <t>GEMINIPROHEAD1THNGAR3BLN-S2</t>
  </si>
  <si>
    <t>Google Gemini AI - Gemini AI Pro 1 Tahun [ PRIVATE ] [ Garansi 6 Bulan ] [ 5 TB GDRIVE ]</t>
  </si>
  <si>
    <t>GEMINIPROHEAD1THNGAR6BLN-S2</t>
  </si>
  <si>
    <t>Google AI Pro [18 Bulan] [PRIVATE] [Garansi 1 Bulan]</t>
  </si>
  <si>
    <t>prod-muniiqze-jyh0</t>
  </si>
  <si>
    <t>Alightmotion || Private Akun 1 Tahun [ Garansi 3 Bulan ]</t>
  </si>
  <si>
    <t>Apps &amp; Streaming</t>
  </si>
  <si>
    <t>ALIGHTMOTIONPRIV1THN-S1</t>
  </si>
  <si>
    <t>BsTation Premium 1 Bulan [ AKUN - SHARED - 1 DEVICES ]</t>
  </si>
  <si>
    <t>Sharing</t>
  </si>
  <si>
    <t>BSPREMSHRD1BLN-S1</t>
  </si>
  <si>
    <t>BsTation Premium 1 Tahun [ AKUN - SHARED - 1 DEVICES ]</t>
  </si>
  <si>
    <t>BSPREMSHRD1THN-S1</t>
  </si>
  <si>
    <t>BsTation Premium 3 Bulan [ AKUN - SHARED - 1 DEVICES ]</t>
  </si>
  <si>
    <t>BSPREMSHRD3BLN-S1</t>
  </si>
  <si>
    <t>Canva Education [ 1 Tahun ] [ Garansi 6 Bulan ]</t>
  </si>
  <si>
    <t>Sharing (Edu)</t>
  </si>
  <si>
    <t>CANVAEDU1THN-S1</t>
  </si>
  <si>
    <t>Canvaa Pro [ 1 Bulan ]</t>
  </si>
  <si>
    <t>CANVA1BLN-S1</t>
  </si>
  <si>
    <t>Canvaa Pro Anggota [ 1 Bulan ] [ Garansi 1 Bulan ]</t>
  </si>
  <si>
    <t>CANVAANGGOTA1BLN-S1</t>
  </si>
  <si>
    <t>Canvaa Pro Anggota [ 2 Bulan ] [ Garansi 2 Bulan ]</t>
  </si>
  <si>
    <t>CANVAANGGOTA2BLN-S1</t>
  </si>
  <si>
    <t>Canvaa Pro Desainer [ 1 Bulan ] [ Garansi 1 Bulan ]</t>
  </si>
  <si>
    <t>Private (Desainer)</t>
  </si>
  <si>
    <t>CANVADESAINER1BLN-S1</t>
  </si>
  <si>
    <t>IQIYI Premium [ 1 Bulan ] [ Shared ]</t>
  </si>
  <si>
    <t>IQIYISHARED-S1</t>
  </si>
  <si>
    <t>IQIYI Premium [ 1 Bulan ] [ Shared ] [ Promo ]</t>
  </si>
  <si>
    <t>IQIYISHARED-S2</t>
  </si>
  <si>
    <t>ChatGPT - Plus Plan 1 Bulan [ Private Account ] [ Garansi 14 Hari ]</t>
  </si>
  <si>
    <t>CHATGPTPLUS1BGAR14D-S1</t>
  </si>
  <si>
    <t>ChatGPT - Plus Plan 1 Bulan [ Private Account ] [ Garansi 28 Hari ]</t>
  </si>
  <si>
    <t>CHATGPTPLUS1BGAR28D-S1</t>
  </si>
  <si>
    <t>ChatGPT - Plus Plan 3 Bulan [ Private Account ] [ Garansi 1 Bulan ]</t>
  </si>
  <si>
    <t>CHATGPTPLUS3BGAR1BLN-S1</t>
  </si>
  <si>
    <t>VIU Premium - Private 12 Bulan [ AKUN - 1 DEVICES ] [GARANSI 1 BULAN]</t>
  </si>
  <si>
    <t>VIU1THNGAR1BLN-S1</t>
  </si>
  <si>
    <t>CapCut - Private Akun 1 Bulan [ Garansi 7 Hari ]</t>
  </si>
  <si>
    <t>CAPCUTPRIVATE1BLN-S2</t>
  </si>
  <si>
    <t>CapCut - Private Akun 30 Hari [ Garansi 25 Hari ] [ Reg Indonesia ]</t>
  </si>
  <si>
    <t>CAPCUTPRIVATE30D-S1</t>
  </si>
  <si>
    <t>CapCut - Private Akun 7 Hari [ Garansi 5 Hari ]</t>
  </si>
  <si>
    <t>CAPCUTPRIVATE7D-S1</t>
  </si>
  <si>
    <t>CapCut - Shared Akun [ 1 Bulan - 1 Devices ]</t>
  </si>
  <si>
    <t>CAPCUTSHARED1BLN-S1</t>
  </si>
  <si>
    <t>CapCut - Shared Akun [ 1 Tahun - 1 Devices ] [ Garansi 6 Bulan ]</t>
  </si>
  <si>
    <t>CAPCUTSHARED1THN-S1</t>
  </si>
  <si>
    <t>CapCut - Shared Akun 1 Bulan [ 1 Devices - 2 User ] [ Garansi 28 Hari ]</t>
  </si>
  <si>
    <t>CAPCUTSHARED1BLN-S3</t>
  </si>
  <si>
    <t>CAPCUTSHARED1BLNGAR28D-S2</t>
  </si>
  <si>
    <t>CapCut - Shared Akun 1 Bulan [ 1 Devices - 2 User ] [ Garansi 7 Hari ]</t>
  </si>
  <si>
    <t>CAPCUTSHARED1BLN-S2</t>
  </si>
  <si>
    <t>Vidio Platinum - Video Premier Platinum [ 1 Bulan ] [ Private - Khusus Mobile ]</t>
  </si>
  <si>
    <t>VIDIOPLATMOBPRIVATE-S1</t>
  </si>
  <si>
    <t>Vidio Platinum - Video Premier Platinum [ 1 Bulan ] [ Shared 2 User - 1 Devices - Khusus Mobile]</t>
  </si>
  <si>
    <t>VIDIOSHAREDMBL1BLN-S2</t>
  </si>
  <si>
    <t>VIU Private 12 Bulan [ AKUN - 1 DEVICES ] [GARANSI 3 BULAN]</t>
  </si>
  <si>
    <t>VIU1THNGAR3BLN-S1</t>
  </si>
  <si>
    <t>WETV Premium [ 1 Bulan ] [ Private ]</t>
  </si>
  <si>
    <t>WETVPRIVATE1BLN-S1</t>
  </si>
  <si>
    <t>WETV Premium [ 1 Bulan] [ Shared - 1 Devices ]</t>
  </si>
  <si>
    <t>WETVSHARED1BLN-S2</t>
  </si>
  <si>
    <t/>
  </si>
  <si>
    <t>TOTAL &amp; RATA-RATA</t>
  </si>
  <si>
    <t>ASTERRA STORE — MASTER KATALOG PRODUK (DATABASE)</t>
  </si>
  <si>
    <t>Total Produk: 232 (Aktif: 37, Arsip: 195) | Tanggal: Kamis, 1 Oktober 2026</t>
  </si>
  <si>
    <t>Status Toko</t>
  </si>
  <si>
    <t>Aktif</t>
  </si>
  <si>
    <t>Google Gemini AI - Gemini AI Pro 1 Tahun [ Garansi 1 Bulan ] [ Anggota ] [ 2TB GDRIVE + VEO 3]</t>
  </si>
  <si>
    <t>Diarsipkan</t>
  </si>
  <si>
    <t>GEMINIPROINVT1THNGAR1BLN-S1</t>
  </si>
  <si>
    <t>Google Gemini AI - Gemini AI Pro 1 Tahun [ Garansi 1 Bulan ] [ Head Invite 5 Anggota ] [ 2TB GDRIVE + VEO 3]</t>
  </si>
  <si>
    <t>GEMINIPROHEAD1THNGAR1BLN-S1</t>
  </si>
  <si>
    <t>Google Gemini AI - Gemini AI Pro 1 Tahun [ Garansi 6 Bulan ] [ Anggota ] [ 2TB GDRIVE + VEO 3]</t>
  </si>
  <si>
    <t>GEMINIPROINVT1THNGAR6BLN-S1</t>
  </si>
  <si>
    <t>Google Gemini AI - Gemini AI Pro 1 Tahun [ Garansi 6 Bulan ] [ Head Invite 5 Anggota ] [ 2TB GDRIVE + VEO 3]</t>
  </si>
  <si>
    <t>GEMINIPROHEAD1THNGAR6BLN-S1</t>
  </si>
  <si>
    <t>Google Gemini AI - Whimsical Gemini</t>
  </si>
  <si>
    <t>EGGEVENTWG-S50</t>
  </si>
  <si>
    <t>[Promo] 296 Diamonds + iQIYI Standard 7 Days</t>
  </si>
  <si>
    <t>MLCMPGN3-S1A</t>
  </si>
  <si>
    <t>[Promo] 296 Diamonds + iQIYI Standard 7 Hari</t>
  </si>
  <si>
    <t>MLCMPGN3-S1AUTO</t>
  </si>
  <si>
    <t>[Promo] 568 Diamonds + iQIYI Standard 7 Days</t>
  </si>
  <si>
    <t>MLCMPGN8-S1001</t>
  </si>
  <si>
    <t>[Promo] Weekly Diamond Pass x3 + iQIYI Standard 7 Days</t>
  </si>
  <si>
    <t>MLCMPGN2-S1A</t>
  </si>
  <si>
    <t>[Promo] Weekly Diamond Pass x3 + iQIYI Standard 7 Hari</t>
  </si>
  <si>
    <t>MLCMPGN2-S1001</t>
  </si>
  <si>
    <t>MLCMPGN2-S1AUTO</t>
  </si>
  <si>
    <t>[Promo] Weekly Diamond Pass x5 + iQIYI Standard 7 Days</t>
  </si>
  <si>
    <t>MLCMPGN7-S1001</t>
  </si>
  <si>
    <t>10 PCS YouTube Individu 4 Bulan [ Akun ]</t>
  </si>
  <si>
    <t>YTPREM4BLN10PCS-S2</t>
  </si>
  <si>
    <t>10 PCS YouTube Individu 4 Bulan [ Akun ] #PROMO</t>
  </si>
  <si>
    <t>YTPREM4BLN10PCSPRM-S2</t>
  </si>
  <si>
    <t>5 PCS YouTube Individu 4 Bulan [ Akun ]</t>
  </si>
  <si>
    <t>YTPREM4BLN5PCS-S2</t>
  </si>
  <si>
    <t>5 PCS YouTube Individu 4 Bulan [ Akun ] #PROMO</t>
  </si>
  <si>
    <t>YTPREM4BLN5PCSPRM-S2</t>
  </si>
  <si>
    <t>BsTation Premium 1 Bulan [ AKUN - PRIVATE ]</t>
  </si>
  <si>
    <t>BSPREMPRIVATE1BLN-S1</t>
  </si>
  <si>
    <t>BsTation Premium 2 Bulan [ AKUN - PRIVATE ]</t>
  </si>
  <si>
    <t>BSPREMPRIVATE2BLN-S1</t>
  </si>
  <si>
    <t>BsTation Premium 3 Bulan [ AKUN - PRIVATE ]</t>
  </si>
  <si>
    <t>BSPREMPRIVATE3BLN-S1</t>
  </si>
  <si>
    <t>Canva Test 23</t>
  </si>
  <si>
    <t>CANVATESTT-S6</t>
  </si>
  <si>
    <t>Canvaa Pro [ 1 Tahun ] [ Garansi 6 Bulan ]</t>
  </si>
  <si>
    <t>CANVA6BLN-S1</t>
  </si>
  <si>
    <t>Canvaa Pro [ Lifetime ] [ Garansi 12 Bulan ]</t>
  </si>
  <si>
    <t>CANVALIFETIME-S1</t>
  </si>
  <si>
    <t>Canvaa Pro Anggota [ 1 Tahun ] [ Garansi 12 Bulan ]</t>
  </si>
  <si>
    <t>CANVAANGGOTA12BLN-S1</t>
  </si>
  <si>
    <t>Canvaa Pro Anggota [ 1 Tahun ] [ Garansi 6 Bulan ]</t>
  </si>
  <si>
    <t>CANVAANGGOTA6BLN-S1</t>
  </si>
  <si>
    <t>Canvaa Pro Desainer [ 1 Tahun ] [ Garansi 12 Bulan ]</t>
  </si>
  <si>
    <t>CANVADESAINER12BLN-S1</t>
  </si>
  <si>
    <t>Canvaa Pro Desainer [ 1 Tahun ] [ Garansi 6 Bulan ]</t>
  </si>
  <si>
    <t>CANVADESAINER6BLN-S1</t>
  </si>
  <si>
    <t>Canvaa Pro Desainer [ Lifetime ] [ Garansi 12 Bulan ]</t>
  </si>
  <si>
    <t>CANVADESAINERLIFETIME-S1</t>
  </si>
  <si>
    <t>Disney+ Hotstar [ 1 Bulan - Shared - Akun ]</t>
  </si>
  <si>
    <t>DISNEY1BLN-S1</t>
  </si>
  <si>
    <t>Disney+ Hotstar [ 2 Bulan - Shared - Akun ]</t>
  </si>
  <si>
    <t>DISNEY2BLN-S1</t>
  </si>
  <si>
    <t>Disney+ Hotstar [ 3 Bulan - Shared - Akun ]</t>
  </si>
  <si>
    <t>DISNEY3BLN-S1</t>
  </si>
  <si>
    <t>Disney+ Hotstar Basic 1 Bulan [ Private Akun - Nomor Pembeli ]</t>
  </si>
  <si>
    <t>DISNEY1BLNBASICPRIVATE-S2</t>
  </si>
  <si>
    <t>Disney+ Hotstar Basic 1 Tahun [ Private Akun - Nomor Pembeli ]</t>
  </si>
  <si>
    <t>DISNEY1THBBASICPRIVATE-S2</t>
  </si>
  <si>
    <t>Disney+ Hotstar Premium 1 Bulan [ Private Akun - Nomor Pembeli ]</t>
  </si>
  <si>
    <t>DISNEY1BLNPRIVATE-S1</t>
  </si>
  <si>
    <t>Disney+ Hotstar Premium 1 Bulan [ Shared 5 User ] [ 1 Devices ]</t>
  </si>
  <si>
    <t>DISNEY1BLNSHRD5U-S1</t>
  </si>
  <si>
    <t>Disney+ Hotstar Premium 1 Tahun [ Private Akun - Nomor Pembeli ]</t>
  </si>
  <si>
    <t>DISNEY1THNPRIVATE-S1</t>
  </si>
  <si>
    <t>IndividuPlan 1 Bulan [ GSUITE - YOUTUBE ONLY ] [ GARANSI 28 HARI ]</t>
  </si>
  <si>
    <t>YTPREMGSUITE1BGAR28D-S1</t>
  </si>
  <si>
    <t>IndividuPlan 1 Bulan [ GSUITE - YOUTUBE ONLY ] [ GARANSI 7 HARI ]</t>
  </si>
  <si>
    <t>YTPREMGSUITE1BGAR7D-S1</t>
  </si>
  <si>
    <t>IQIYI Premium [ 1 Bulan ] [ Shared ] [ Max 2 Device ]</t>
  </si>
  <si>
    <t>IQIYIPRIVATE-S1</t>
  </si>
  <si>
    <t>K-VISION &amp; GOL Paket Anak (ANAK) 30 Hari</t>
  </si>
  <si>
    <t>KVISIONANAK</t>
  </si>
  <si>
    <t>K-VISION &amp; GOL Paket Bein (BEIN) 30 Hari</t>
  </si>
  <si>
    <t>KVISIONBEIN</t>
  </si>
  <si>
    <t>K-VISION &amp; GOL Paket Euro</t>
  </si>
  <si>
    <t>KVISIONGOPEURO1</t>
  </si>
  <si>
    <t>K-Vision &amp; GOL PAKET EURO DAN FILM 6 BULAN</t>
  </si>
  <si>
    <t>KVISIONGOEUROFILM6BLN</t>
  </si>
  <si>
    <t>K-Vision &amp; GOL PAKET EURO DAN JUARA 6 BULAN</t>
  </si>
  <si>
    <t>KVISIONGOJUARA6BLN</t>
  </si>
  <si>
    <t>K-Vision &amp; GOL PAKET EURO DAN OLAHRAGA 6 BULAN</t>
  </si>
  <si>
    <t>KVISIONGOOLHRGA6BLN</t>
  </si>
  <si>
    <t>K-Vision &amp; GOL PAKET EURO DAN SPOTV 6 BULAN</t>
  </si>
  <si>
    <t>KVISIONGOSPOTV6BLN</t>
  </si>
  <si>
    <t>K-VISION &amp; GOL PAKET GILA BOLA (GB01) 30 Hari</t>
  </si>
  <si>
    <t>KVISIONGB01</t>
  </si>
  <si>
    <t>K-VISION &amp; GOL Paket Jawa (JW01) 30 Hari</t>
  </si>
  <si>
    <t>KVISIONJW01</t>
  </si>
  <si>
    <t>K-VISION &amp; GOL PAKET JUARA (J01) 30 Hari</t>
  </si>
  <si>
    <t>KVISIONJ01</t>
  </si>
  <si>
    <t>K-VISION &amp; GOL PAKET JUARA (J03) 90 Hari</t>
  </si>
  <si>
    <t>KVISIONJ03</t>
  </si>
  <si>
    <t>K-VISION &amp; GOL PAKET JUARA (J06) 180 Hari</t>
  </si>
  <si>
    <t>KVISIONJ06</t>
  </si>
  <si>
    <t>K-VISION &amp; GOL PAKET JUARA (J12) 360 Hari</t>
  </si>
  <si>
    <t>KVISIONJ12</t>
  </si>
  <si>
    <t>K-VISION &amp; GOL PAKET OLAHRAGA (G01) 30 Hari</t>
  </si>
  <si>
    <t>KVISIONG01</t>
  </si>
  <si>
    <t>K-Vision &amp; GOL Paket RCTI Premium Sports Derbi Serumpun</t>
  </si>
  <si>
    <t>KVISIONGORCTI</t>
  </si>
  <si>
    <t>K-VISION 10.000</t>
  </si>
  <si>
    <t>KVISION10</t>
  </si>
  <si>
    <t>K-VISION 100.000</t>
  </si>
  <si>
    <t>KVISION100</t>
  </si>
  <si>
    <t>K-VISION 125.000</t>
  </si>
  <si>
    <t>KVISION125</t>
  </si>
  <si>
    <t>K-VISION 15.000</t>
  </si>
  <si>
    <t>KVISION15</t>
  </si>
  <si>
    <t>K-VISION 150.000</t>
  </si>
  <si>
    <t>KVISION150</t>
  </si>
  <si>
    <t>K-VISION 180.000</t>
  </si>
  <si>
    <t>KVISION180</t>
  </si>
  <si>
    <t>K-VISION 20.000</t>
  </si>
  <si>
    <t>KVISION20</t>
  </si>
  <si>
    <t>K-VISION 200.000</t>
  </si>
  <si>
    <t>KVISION200</t>
  </si>
  <si>
    <t>K-VISION 25.000</t>
  </si>
  <si>
    <t>KVISION25</t>
  </si>
  <si>
    <t>K-VISION 250.000</t>
  </si>
  <si>
    <t>KVISION250</t>
  </si>
  <si>
    <t>K-VISION 30.000</t>
  </si>
  <si>
    <t>KVISION30</t>
  </si>
  <si>
    <t>K-VISION 300.000</t>
  </si>
  <si>
    <t>KVISION300</t>
  </si>
  <si>
    <t>K-VISION 540.000</t>
  </si>
  <si>
    <t>KVISION540</t>
  </si>
  <si>
    <t>ChatGPT - Member Team Business Plan 1 Bulan [ Private Account ] [ Garansi 28 Hari ]</t>
  </si>
  <si>
    <t>CHATGPT1BGAR28D-S1</t>
  </si>
  <si>
    <t>ChatGPT - Member Team Business Plan 1 Bulan [ Private Account ] [ Garansi 7 Hari ]</t>
  </si>
  <si>
    <t>CHATGPT1BGAR7D-S1</t>
  </si>
  <si>
    <t>Nex Parabola Paket Champions + Liga Indonesia 1 Musim (2500)</t>
  </si>
  <si>
    <t>NEXCHAMPS2500</t>
  </si>
  <si>
    <t>Nex Parabola Paket Champions + Liga Indonesia 180 Hari (2506)</t>
  </si>
  <si>
    <t>NEXCHAMPS2506</t>
  </si>
  <si>
    <t>Nex Parabola Paket Champions + Liga Indonesia 30 Hari (2501)</t>
  </si>
  <si>
    <t>NEXCHAMPS2501</t>
  </si>
  <si>
    <t>Nex Parabola Paket Champions + Liga Indonesia 90 Hari (2503)</t>
  </si>
  <si>
    <t>NEXCHAMPS2503</t>
  </si>
  <si>
    <t>Nex Parabola Paket Diamond + Liga Indonesia 180 Hari (2906)</t>
  </si>
  <si>
    <t>NEXALLCHANNEL2906</t>
  </si>
  <si>
    <t>Nex Parabola Paket Diamond + Liga Indonesia 30 Hari (2901)</t>
  </si>
  <si>
    <t>NEXALLCHANNEL2901</t>
  </si>
  <si>
    <t>Nex Parabola Paket Diamond + Liga Indonesia 90 Hari (2903)</t>
  </si>
  <si>
    <t>NEXALLCHANNEL2903</t>
  </si>
  <si>
    <t>Nex Parabola Paket Liga Indonesia 180 Hari (1906)</t>
  </si>
  <si>
    <t>NEXLIGA1906</t>
  </si>
  <si>
    <t>Nex Parabola Paket Liga Indonesia 30 Hari (1901)</t>
  </si>
  <si>
    <t>NEXLIGA1901</t>
  </si>
  <si>
    <t>Nex Parabola Paket Liga Indonesia 90 Hari (1903)</t>
  </si>
  <si>
    <t>NEXLIGA1903</t>
  </si>
  <si>
    <t>Nex Parabola Paket Mola + Liga Indonesia 1 Musim (2700)</t>
  </si>
  <si>
    <t>NEXTMOLA2700</t>
  </si>
  <si>
    <t>Nex Parabola Paket Mola + Liga Indonesia 180 Hari (2706)</t>
  </si>
  <si>
    <t>NEXMOLAS2706</t>
  </si>
  <si>
    <t>Nex Parabola Paket Mola + Liga Indonesia 30 Hari (2701)</t>
  </si>
  <si>
    <t>NEXMOLA2701</t>
  </si>
  <si>
    <t>Nex Parabola Paket Mola + Liga Indonesia 90 Hari (2703)</t>
  </si>
  <si>
    <t>NEXMOLA2703</t>
  </si>
  <si>
    <t>Nex Parabola Paket Sports + Liga Indonesia 180 Hari (2306)</t>
  </si>
  <si>
    <t>NEXBT2306</t>
  </si>
  <si>
    <t>Nex Parabola Paket Sports + Liga Indonesia 30 Hari (2301)</t>
  </si>
  <si>
    <t>NEXBT2301</t>
  </si>
  <si>
    <t>Nex Parabola Paket Sports + Liga Indonesia 90 Hari (2303)</t>
  </si>
  <si>
    <t>NEXBT2303</t>
  </si>
  <si>
    <t>Vidio Platinum - OPEN</t>
  </si>
  <si>
    <t>VIDIOWORLDCUPINFO-S24</t>
  </si>
  <si>
    <t>Orange TV 100.000</t>
  </si>
  <si>
    <t>OTV100</t>
  </si>
  <si>
    <t>Orange TV 300.000</t>
  </si>
  <si>
    <t>OTV300</t>
  </si>
  <si>
    <t>Orange TV 50.000</t>
  </si>
  <si>
    <t>OTV50</t>
  </si>
  <si>
    <t>Orange TV 80.000</t>
  </si>
  <si>
    <t>OTV80</t>
  </si>
  <si>
    <t>ChatGPT - Owner Team Business Plan 1 Bulan [ Maximal 5 Member ] [ Garansi 28 Hari ]</t>
  </si>
  <si>
    <t>CHATGPTOWNER1BGAR28D-S1</t>
  </si>
  <si>
    <t>ChatGPT - Owner Team Business Plan 1 Bulan [ Maximal 5 Member ] [ Garansi 7 Hari ]</t>
  </si>
  <si>
    <t>CHATGPTOWNER1BGAR7D-S1</t>
  </si>
  <si>
    <t>ChatGPT - Plus Plan 1 Bulan [ Private Account ] [ FULL GARANSI ]</t>
  </si>
  <si>
    <t>CHATGPTPLUS1BGAR28D-S2</t>
  </si>
  <si>
    <t>CHATGPTPLUS1BGAR4D-S1</t>
  </si>
  <si>
    <t>ChatGPT - Plus Plan 1 Bulan [ Private Account ] [ Garansi 3 Hari ]</t>
  </si>
  <si>
    <t>CHATGPTPLUS1BGAR3D-S1</t>
  </si>
  <si>
    <t>ChatGPT - Plus Plan 1 Bulan [ Private Account ] [ Garansi 3 Hari ] [ 5 PCS ]</t>
  </si>
  <si>
    <t>CHATGPTPLUS1BGAR3D5PCS-S1</t>
  </si>
  <si>
    <t>ChatGPT - Plus Plan 1 Bulan [ Private Account ] [ Garansi 7 Hari ]</t>
  </si>
  <si>
    <t>CHATGPTPLUS1BGAR7D-S1</t>
  </si>
  <si>
    <t>ChatGPT - Plus Plan 1 Bulan [ Private Account ] [ Garansi 7 Hari ] [ 5 PCS ]</t>
  </si>
  <si>
    <t>CHATGPTPLUS1BGAR7D5PCS-S1</t>
  </si>
  <si>
    <t>ChatGPT - Plus Plan 1 Bulan [ SHARED ACCOUNT ] [ Garansi 7 Hari ]</t>
  </si>
  <si>
    <t>CHATGPTPLUS1BSHARED-S1</t>
  </si>
  <si>
    <t>ChatGPT - Plus Plan 1 Tahun [ Private Account ] [ Garansi 6 Bulan ]</t>
  </si>
  <si>
    <t>CHATGPTPLUS1THNGAR6B-S1</t>
  </si>
  <si>
    <t>ChatGPT - Plus Plan 3 Bulan [ Private Account ] [ Garansi 3 Bulan ]</t>
  </si>
  <si>
    <t>CHATGPTPLUS3BGAR3BLN-S1</t>
  </si>
  <si>
    <t>VIU Premium - Private 1 Bulan [ AKUN - 1 DEVICES ]</t>
  </si>
  <si>
    <t>VIU1BLN-S1</t>
  </si>
  <si>
    <t>VIU Premium - Private 1 Bulan [ AKUN - 1 DEVICES ] [PROMO - GARANSI 1 BULAN]</t>
  </si>
  <si>
    <t>VIU1BLNPRM-S2</t>
  </si>
  <si>
    <t>VIU Premium - Private 1 Bulan [ AKUN - 1 DEVICES ] [PROMO]</t>
  </si>
  <si>
    <t>VIU1BLNPRM-S1</t>
  </si>
  <si>
    <t>VIU Premium - Private 3 Bulan [ AKUN - 1 DEVICES ]</t>
  </si>
  <si>
    <t>VIU3BLN-S1</t>
  </si>
  <si>
    <t>VIU Premium - Private 3 Bulan [ AKUN - 1 DEVICES ] [PROMO - GARANSI 1 BULAN]</t>
  </si>
  <si>
    <t>VIU3BLNPRM-S2</t>
  </si>
  <si>
    <t>VIU Premium - Private 3 Bulan [ AKUN - 1 DEVICES ] [PROMO - GARANSI 2 BULAN]</t>
  </si>
  <si>
    <t>VIU3BLNGAR2BLN-S3</t>
  </si>
  <si>
    <t>VIU3BLNPRM-S3</t>
  </si>
  <si>
    <t>VIU Premium - Private 3 Bulan [ AKUN - 1 DEVICES ] [PROMO]</t>
  </si>
  <si>
    <t>VIU3BLNPRM-S1</t>
  </si>
  <si>
    <t>VIU Premium - Private 6 Bulan [ AKUN - 1 DEVICES ]</t>
  </si>
  <si>
    <t>VIU6BLN-S1</t>
  </si>
  <si>
    <t>VIU Premium - Private 6 Bulan [ AKUN - 1 DEVICES ] [PROMO - GARANSI 1 BULAN]</t>
  </si>
  <si>
    <t>VIU6BLNPRM-S2</t>
  </si>
  <si>
    <t>VIU Premium - Private 6 Bulan [ AKUN - 1 DEVICES ] [PROMO - GARANSI 3 BULAN]</t>
  </si>
  <si>
    <t>VIU6BLNGAR3BLN-S3</t>
  </si>
  <si>
    <t>VIU6BLNPRM-S3</t>
  </si>
  <si>
    <t>VIU Premium - Private 6 Bulan [ AKUN - 1 DEVICES ] [PROMO]</t>
  </si>
  <si>
    <t>VIU6BLNPRM-S1</t>
  </si>
  <si>
    <t>Private Akun [ 1 Bulan ] [ All Screen ]</t>
  </si>
  <si>
    <t>VISIONPRIVATE1BLN-S1</t>
  </si>
  <si>
    <t>Private Akun [ 1 Bulan ] [ All Screen ] [ Premium + Sports ]</t>
  </si>
  <si>
    <t>VISIONPREMPRIVATE1BLN-S2</t>
  </si>
  <si>
    <t>VISIONPRIVATE1BLN-S2</t>
  </si>
  <si>
    <t>CapCut - Private Akun 1 Bulan [ Garansi 28 Hari ]</t>
  </si>
  <si>
    <t>CAPCUTPRIVATE1BLN-S3</t>
  </si>
  <si>
    <t>CAPCUTPRIVATE1BLNGAR28D-S2</t>
  </si>
  <si>
    <t>CapCut - Private Akun 21 Hari [ Full Garansi ]</t>
  </si>
  <si>
    <t>CAPCUTPRIVATE21D-S2</t>
  </si>
  <si>
    <t>Shared Akun [ 1 Bulan ] [ All Screen ] [ 1 DEVICES ]</t>
  </si>
  <si>
    <t>VISIONSHARED1BLN-S1</t>
  </si>
  <si>
    <t>SPOTIFY PREMIUM Admin [ 1 Bulan - Indo ]</t>
  </si>
  <si>
    <t>SPYADM1BLN-S1</t>
  </si>
  <si>
    <t>SPOTIFY PREMIUM Admin [ 1 Bulan - USA ]</t>
  </si>
  <si>
    <t>SPYADM1BLNUS-S1</t>
  </si>
  <si>
    <t>SPOTIFY PREMIUM Anggota [ 1 Bulan - Invite - Indo ]</t>
  </si>
  <si>
    <t>SPYINVT1BLN-S1</t>
  </si>
  <si>
    <t>Spotify Premium Subscription Voucher - 1 Bulan</t>
  </si>
  <si>
    <t>VSPOTIFY30</t>
  </si>
  <si>
    <t>ChatGPT - Teacher Plan 1 Tahun [ Private Account ] [ Garansi 1 Bulan ]</t>
  </si>
  <si>
    <t>CHATGPTTEACHER1THNGAR1B-S1</t>
  </si>
  <si>
    <t>ChatGPT - Teacher Plan 1 Tahun [ Private Account ] [ Garansi 6 Bulan ]</t>
  </si>
  <si>
    <t>CHATGPTTEACHER1THNGAR6B-S1</t>
  </si>
  <si>
    <t>Telkomsel Data 1 GB + 500 MB Youtube / 30 Hari</t>
  </si>
  <si>
    <t>TPY1</t>
  </si>
  <si>
    <t>Telkomsel Data Disney+ Hotstar + 3 GB Maxstream / 1 Bulan</t>
  </si>
  <si>
    <t>SDDH31</t>
  </si>
  <si>
    <t>Telkomsel Data Disney+ Hotstar + 3 GB Maxstream / 12 Bulan</t>
  </si>
  <si>
    <t>SDDH312</t>
  </si>
  <si>
    <t>Telkomsel Data Disney+ Hotstar + 3 GB Maxstream / 3 Bulan</t>
  </si>
  <si>
    <t>SDDH33</t>
  </si>
  <si>
    <t>Telkomsel Data Disney+ Hotstar + 3 GB Maxstream / 6 Bulan</t>
  </si>
  <si>
    <t>SDDH36</t>
  </si>
  <si>
    <t>Telkomsel Data Disney+ Hotstar 10 GB 30 Hari</t>
  </si>
  <si>
    <t>TDDH1030</t>
  </si>
  <si>
    <t>Telkomsel Data Disney+ Hotstar 2 GB Maxstream 30 Hari</t>
  </si>
  <si>
    <t>TDDH230</t>
  </si>
  <si>
    <t>Telkomsel Data Disney+ Hotstar 25 GB 30 Hari</t>
  </si>
  <si>
    <t>TDDH2530</t>
  </si>
  <si>
    <t>Telkomsel Data Disney+ Hotstar 45 GB 30 Hari</t>
  </si>
  <si>
    <t>TDDH4530</t>
  </si>
  <si>
    <t>Telkomsel Data Disney+ Hotstar 5 GB 30 Hari</t>
  </si>
  <si>
    <t>TDDH530</t>
  </si>
  <si>
    <t>Telkomsel Disney+ Hotstar 30 Hari</t>
  </si>
  <si>
    <t>TDH30H</t>
  </si>
  <si>
    <t>Telkomsel Paket Internet Youtube 1 GB / 1 Hari</t>
  </si>
  <si>
    <t>TPY11</t>
  </si>
  <si>
    <t>Telkomsel Paket Internet Youtube 1 GB / 3 Hari</t>
  </si>
  <si>
    <t>TPY13</t>
  </si>
  <si>
    <t>Telkomsel Paket Internet Youtube 1 GB / 7 Hari</t>
  </si>
  <si>
    <t>TPY17</t>
  </si>
  <si>
    <t>Telkomsel Paket Internet Youtube 10 GB / 30 Hari</t>
  </si>
  <si>
    <t>TPY1030</t>
  </si>
  <si>
    <t>Telkomsel Paket Internet Youtube 2 GB / 3 Hari</t>
  </si>
  <si>
    <t>TPY23</t>
  </si>
  <si>
    <t>Telkomsel Paket Internet Youtube 2 GB / 7 Hari</t>
  </si>
  <si>
    <t>TPY27</t>
  </si>
  <si>
    <t>Telkomsel Paket Internet Youtube 3 GB / 7 Hari</t>
  </si>
  <si>
    <t>TPY37</t>
  </si>
  <si>
    <t>Telkomsel Paket Internet Youtube 5 GB / 30 Hari</t>
  </si>
  <si>
    <t>TPY530</t>
  </si>
  <si>
    <t>Tri Data 10 GB( Semua Jaringan) + 10GB ( Youtube + Netflix) / 30 Hari</t>
  </si>
  <si>
    <t>TD10GBYTN</t>
  </si>
  <si>
    <t>Tri Data 22 GB + Unlimited YouTube Dan VIU / 30 Hari</t>
  </si>
  <si>
    <t>TD10GBUNL</t>
  </si>
  <si>
    <t>Vidio Platinum - Video FIFA World Cup Qatar 2022 [ 1 Bulan ] [ Private Akun ] [ Mobile/Tablet ]</t>
  </si>
  <si>
    <t>VIDIOWORLDCUPMOBILEEE-S23</t>
  </si>
  <si>
    <t>Vidio Platinum - Video FIFA World Cup Qatar 2022 [ 3 Bulan ] [ Private Akun ] [ All Devices ]</t>
  </si>
  <si>
    <t>VIDIOWORLDCUPALLSCREENN-S22</t>
  </si>
  <si>
    <t>Vidio Platinum - Video FIFA World Cup Qatar 2022 [ 3 Bulan ] [ Private Akun ] [ Mobile/Tablet ]</t>
  </si>
  <si>
    <t>VIDIOWORLDCUPMOBILEE-S23</t>
  </si>
  <si>
    <t>Vidio Platinum - Video FIFA World Cup Qatar 2022 [ 3 Bulan ] [ Shared ] [ All Devices ]</t>
  </si>
  <si>
    <t>VIDIOFIFAWORLDCUPALL-S1</t>
  </si>
  <si>
    <t>Vidio Platinum - Video FIFA World Cup Qatar 2022 [ 3 Bulan ] [ Shared ] [ Mobile/Desktop ]</t>
  </si>
  <si>
    <t>VIDIOFIFAWORLDCUPKHUSUS-S1</t>
  </si>
  <si>
    <t>Vidio Platinum - Video Premier Platinum [ 1 Bulan ] [ Private - All Screen ]</t>
  </si>
  <si>
    <t>VIDIOPRIVATE-S1</t>
  </si>
  <si>
    <t>Vidio Platinum - Video Premier Platinum [ 1 Bulan ] [ Private ] PROMO</t>
  </si>
  <si>
    <t>VIDIOPRIVATE1BLNPRM-S1</t>
  </si>
  <si>
    <t>Vidio Platinum - Video Premier Platinum [ 1 Bulan ] [ Shared ]</t>
  </si>
  <si>
    <t>VIDIOSHARED-S1</t>
  </si>
  <si>
    <t>Vidio Platinum - Video Premier Platinum [ 1 Bulan ] [ Shared ] PROMO</t>
  </si>
  <si>
    <t>VIDIOSHARED1BLNPROM-S1</t>
  </si>
  <si>
    <t>Vidio Platinum - Video Premier Platinum [ 1 Bulan ] [ Shared 3 User - 1 Devices - All Screen ]</t>
  </si>
  <si>
    <t>VIDIOSHARED1BLN-S2</t>
  </si>
  <si>
    <t>Vidio Platinum - Video Premier Platinum [ 1 Tahun ] [ KHUSUS TV ] [ Garansi 1 Bulan ]</t>
  </si>
  <si>
    <t>VIDIOTV1THNGAR1B-S1</t>
  </si>
  <si>
    <t>Vidio Platinum - Video Premier Platinum [ 1 Tahun ] [ KHUSUS TV ] [ Garansi 3 Bulan ]</t>
  </si>
  <si>
    <t>VIDIOTV1THNGAR3B-S1</t>
  </si>
  <si>
    <t>Vidio Platinum - Video Premier Platinum [ 1 Tahun ] [ Private - 1x Garansi ]</t>
  </si>
  <si>
    <t>VIDIOPRIVATE12BLN1XGAR-S1</t>
  </si>
  <si>
    <t>Vidio Platinum - Video Premier Platinum [ 1 Tahun ] [ Private - No Garansi ]</t>
  </si>
  <si>
    <t>VIDIOPRIVATE12BLNNOGAR-S1</t>
  </si>
  <si>
    <t>Vidio Platinum - Video Premier Platinum [ 1 Tahun ] [ Private ]</t>
  </si>
  <si>
    <t>VIDIOPRIVATE12BLN-S1</t>
  </si>
  <si>
    <t>Vidio Platinum - Video Premier Platinum [ 1 Tahun ] [ Shared 3 User ]</t>
  </si>
  <si>
    <t>VIDIOSHARED12BLN-S1</t>
  </si>
  <si>
    <t>Vidio Platinum - Video Premier Platinum [ 2 Bulan ] [ Private ]</t>
  </si>
  <si>
    <t>VIDIOPRIVATE2BLN-S1</t>
  </si>
  <si>
    <t>Vidio Platinum - Video Premier Platinum [ 2 Bulan ] [ Shared ]</t>
  </si>
  <si>
    <t>VIDIOSHARED2BLN-S1</t>
  </si>
  <si>
    <t>Vidio Platinum - Video Premier Platinum [ 2 Bulan ] [ Shared ] #HUT77</t>
  </si>
  <si>
    <t>VIDIOSHARED2BLNPRM-S2</t>
  </si>
  <si>
    <t>Vidio Platinum - Video Premier Platinum [ 2 Bulan ] [ Shared 2 User - 1 Devices ]</t>
  </si>
  <si>
    <t>VIDIOSHARED2BLN-S2</t>
  </si>
  <si>
    <t>Vidio Platinum - Video Premier Platinum [ 3 Bulan ] [ Private ]</t>
  </si>
  <si>
    <t>VIDIOPRIVATE3BLN-S1</t>
  </si>
  <si>
    <t>Vidio Platinum - Video Premier Platinum [ 3 Bulan ] [ Shared ]</t>
  </si>
  <si>
    <t>VIDIOSHARED3BLN-S1</t>
  </si>
  <si>
    <t>Vidio Platinum - Video Premier Platinum [ 3 Bulan ] [ Shared 2 User - 1 Devices ]</t>
  </si>
  <si>
    <t>VIDIOSHARED3BLN-S2</t>
  </si>
  <si>
    <t>Vidio Platinum - Video Premier Platinum [ 6 Bulan ] [ KHUSUS TV ] [ Garansi 1 Bulan ]</t>
  </si>
  <si>
    <t>VIDIOTV6BLNGAR1B-S1</t>
  </si>
  <si>
    <t>Vidio Platinum - Video Premier Platinum [ 6 Bulan ] [ KHUSUS TV ] [ Garansi 3 Bulan ]</t>
  </si>
  <si>
    <t>VIDIOTV6BLNGAR3B-S1</t>
  </si>
  <si>
    <t>Vidio Platinum - Video Premier Platinum [ 6 Bulan ] [ Private ]</t>
  </si>
  <si>
    <t>VIDIOPRIVATE6BLN-S1</t>
  </si>
  <si>
    <t>Vidio Platinum - Video Premier Platinum [ 6 Bulan ] [ Shared 3 User ]</t>
  </si>
  <si>
    <t>VIDIOSHARED6BLN-S1</t>
  </si>
  <si>
    <t>K-VISION DAN GOL - VisionKu Film 30 Hari</t>
  </si>
  <si>
    <t>VISIONFILM</t>
  </si>
  <si>
    <t>K-VISION DAN GOL - VisionKu Paket Euro</t>
  </si>
  <si>
    <t>VISIONPAKETEURO</t>
  </si>
  <si>
    <t>K-VISION DAN GOL - VisionKu Paket MVP</t>
  </si>
  <si>
    <t>VISIONPAKETMVP</t>
  </si>
  <si>
    <t>K-VISION DAN GOL - VisionKu Spotv 30 Hari</t>
  </si>
  <si>
    <t>VISIONSPOTV30</t>
  </si>
  <si>
    <t>Voucher Vidio 1 Tahun Platinum</t>
  </si>
  <si>
    <t>VIDIO365</t>
  </si>
  <si>
    <t>Voucher Vidio 30 Hari Platinum</t>
  </si>
  <si>
    <t>VIDIO30</t>
  </si>
  <si>
    <t>Voucher Vidio 7 Hari Platinum</t>
  </si>
  <si>
    <t>VIDIO7</t>
  </si>
  <si>
    <t>WETV Premium [ 1 Bulan] [ Shared ]</t>
  </si>
  <si>
    <t>WETVSHARED1BLN-S1</t>
  </si>
  <si>
    <t>WETV Premium [ 1 Tahun ] [ Shared ]</t>
  </si>
  <si>
    <t>WETVSHARED1THN-S1</t>
  </si>
  <si>
    <t>WETV Premium [ 1 Tahun ] [ Shared ] [ Promo ]</t>
  </si>
  <si>
    <t>WETVSHARED1THN-S2</t>
  </si>
  <si>
    <t>WETV Premium [ 3 Bulan] [ Shared ]</t>
  </si>
  <si>
    <t>WETVSHARED3BLN-S1</t>
  </si>
  <si>
    <t>XL Xtra Kuota Vidio 5 GB &amp; Vidio Diamond Big Screen 30 Hari</t>
  </si>
  <si>
    <t>XLKVDBS530</t>
  </si>
  <si>
    <t>XL Xtra Kuota Vidio 5 GB &amp; Vidio Diamond Mobile 30 Hari</t>
  </si>
  <si>
    <t>XLKVDM530</t>
  </si>
  <si>
    <t>XL Xtra Kuota Vidio 5 GB &amp; Vidio Platinum Big Screen 30 Hari</t>
  </si>
  <si>
    <t>XLKVPBS530</t>
  </si>
  <si>
    <t>XL Xtra Kuota Vidio 5 GB &amp; Vidio Platinum Mobile 30 Hari</t>
  </si>
  <si>
    <t>XLKVPM530</t>
  </si>
  <si>
    <t>YouTube Individu 4 Bulan [ Akun ] #PROMO</t>
  </si>
  <si>
    <t>YTPREMINDPRM-S2</t>
  </si>
  <si>
    <t>YouTube Individu 4 Bulan [ Gmail Admin ] [1 PCS] #HUT-RI-78</t>
  </si>
  <si>
    <t>YTPREMINDHUTRI78-S2</t>
  </si>
  <si>
    <t>YouTube Individu 4 Bulan [ Gmail Admin ] [10 PCS] [GRATIS 2 AKUN]</t>
  </si>
  <si>
    <t>YTPREMIND10PCS-S2</t>
  </si>
  <si>
    <t>YouTube Individu 4 Bulan [ Gmail Admin ] [5 PCS] [GRATIS 1 AKUN]</t>
  </si>
  <si>
    <t>YTPREMIND5PCS-S2</t>
  </si>
  <si>
    <t>YouTube Individu 4 Bulan [ Gmail Customer ] [10 PCS] [GRATIS 2 AKUN]</t>
  </si>
  <si>
    <t>YTPREMINDPO10X-S2</t>
  </si>
  <si>
    <t>ASTERRA STORE — KATALOG CADANGAN (ACTIVE-CATALOG.JSON)</t>
  </si>
  <si>
    <t>Total Fallback: 245 Produk | Sumber: data/active-catalog.json</t>
  </si>
  <si>
    <t>K-VISION 50.000</t>
  </si>
  <si>
    <t>KVISION50</t>
  </si>
  <si>
    <t>K-VISION 80.000</t>
  </si>
  <si>
    <t>KVISION80</t>
  </si>
  <si>
    <t>VisionKu Basic 30 Hari</t>
  </si>
  <si>
    <t>VISIONBASICC</t>
  </si>
  <si>
    <t>VisionKu Film 30 Hari</t>
  </si>
  <si>
    <t>VisionKu Paket Euro</t>
  </si>
  <si>
    <t>VisionKu Paket MVP</t>
  </si>
  <si>
    <t>VisionKu Spotv 30 Hari</t>
  </si>
  <si>
    <t>Alight Motion - Private Akun 1 Tahun [ Garansi 3 Bulan ]</t>
  </si>
  <si>
    <t>Google Gemini AI - Gemini AI Pro 1 Tahun [ Head Invite 5 Anggota ] [ Garansi 6 Bulan ] [ 5 TB GDRIVE ]</t>
  </si>
  <si>
    <t>VIU Premium - Private 12 Bulan [ AKUN - 1 DEVICES ] [GARANSI 3 BULAN]</t>
  </si>
  <si>
    <t>YouTube Individu 4 Bulan [ Gmail Customer ] [5 PCS] [GRATIS 1 AKUN]</t>
  </si>
  <si>
    <t>YTPREMINDPO5X-S2</t>
  </si>
  <si>
    <t>YouTube Individu 6 Bulan [ Gmail Customer] [1 PCS]</t>
  </si>
  <si>
    <t>YTPREMINDV6BLNPO1X-S2</t>
  </si>
  <si>
    <t>YouTube Individu 6 Bulan [ Gmail Customer] [5 PCS] [GRATIS 1 AKUN]</t>
  </si>
  <si>
    <t>YTPREMINDV6BLNPO5X-S2</t>
  </si>
  <si>
    <t>YouTube Individu 6 Bulan [ Gmail Customer] [10 PCS] [GRATIS 2 AKUN]</t>
  </si>
  <si>
    <t>YTPREMINDV6BLNPO10X-S2</t>
  </si>
  <si>
    <t>YouTube Premium Anggota [ 1 Bulan - Invite ]</t>
  </si>
  <si>
    <t>YTPREMINVT-S1</t>
  </si>
  <si>
    <t>YouTube Individu 6 Bulan [ Gmail Admin ] [1 PCS]</t>
  </si>
  <si>
    <t>YTPREMIND6BLN1PCS-S2</t>
  </si>
  <si>
    <t>YouTube Premium Family [ 1 Bulan - 5 Anggota - Akun ]</t>
  </si>
  <si>
    <t>YTPREMADM-S1</t>
  </si>
  <si>
    <t>YouTube Premium Individu [ 4 Bulan - Bawa Email Baru Sendiri ]</t>
  </si>
  <si>
    <t>YTPREMINDE-S1</t>
  </si>
  <si>
    <t>YouTube Individu 6 Bulan [ Gmail Admin ] [5 PCS] [GRATIS 1 AKUN]</t>
  </si>
  <si>
    <t>YTPREMIND6BLN5PCS-S2</t>
  </si>
  <si>
    <t>YouTube Premium Individu [ 4 Bulan - Akun ]</t>
  </si>
  <si>
    <t>YTPREMIND-S1</t>
  </si>
  <si>
    <t>YouTube Individu 6 Bulan [ Gmail Admin ] [10 PCS] [GRATIS 2 AKUN]</t>
  </si>
  <si>
    <t>YTPREMIND6BLN10PCS-S2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</si>
</sst>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p &quot;#,##0;[Red]-&quot;Rp &quot;#,##0;&quot;-&quot;"/>
    <numFmt numFmtId="165" formatCode="0.0%"/>
  </numFmts>
  <fonts count="17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475569"/>
      <sz val="9"/>
      <name val="Segoe UI"/>
    </font>
    <font>
      <b/>
      <color rgb="FFFFFFFF"/>
      <sz val="10"/>
      <name val="Segoe UI"/>
    </font>
    <font>
      <color rgb="FF64748B"/>
      <sz val="9"/>
      <name val="Segoe UI"/>
    </font>
    <font>
      <b/>
      <color rgb="FF0F172A"/>
      <sz val="9.5"/>
      <name val="Segoe UI"/>
    </font>
    <font>
      <sz val="9.5"/>
      <name val="Segoe UI"/>
    </font>
    <font>
      <b/>
      <color rgb="FF1D4ED8"/>
      <sz val="9"/>
      <name val="Segoe UI"/>
    </font>
    <font>
      <b/>
      <color rgb="FFB91C1C"/>
      <sz val="9"/>
      <name val="Segoe UI"/>
    </font>
    <font>
      <b/>
      <color rgb="FF0D9488"/>
      <sz val="9.5"/>
      <name val="Segoe UI"/>
    </font>
    <font>
      <color rgb="FF475569"/>
      <sz val="8.5"/>
      <name val="Consolas"/>
    </font>
    <font>
      <b/>
      <color rgb="FFB45309"/>
      <sz val="9"/>
      <name val="Segoe UI"/>
    </font>
    <font>
      <b/>
      <color rgb="FF15803D"/>
      <sz val="9"/>
      <name val="Segoe UI"/>
    </font>
    <font>
      <b/>
      <color rgb="FF0F172A"/>
      <sz val="10"/>
      <name val="Segoe UI"/>
    </font>
    <font>
      <sz val="9"/>
      <name val="Segoe UI"/>
    </font>
    <font>
      <color rgb="FF64748B"/>
      <sz val="8.5"/>
      <name val="Consolas"/>
    </font>
    <font>
      <b/>
      <color rgb="FF64748B"/>
      <sz val="9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double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right" vertical="center"/>
    </xf>
    <xf numFmtId="164" fontId="9" fillId="8" borderId="1" xfId="0" applyNumberFormat="1" applyFont="1" applyFill="1" applyBorder="1" applyAlignment="1">
      <alignment horizontal="right" vertical="center"/>
    </xf>
    <xf numFmtId="165" fontId="6" fillId="8" borderId="1" xfId="0" applyNumberFormat="1" applyFont="1" applyFill="1" applyBorder="1" applyAlignment="1">
      <alignment horizontal="right" vertical="center"/>
    </xf>
    <xf numFmtId="0" fontId="10" fillId="8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11" borderId="2" xfId="0" applyFont="1" applyFill="1" applyBorder="1"/>
    <xf numFmtId="0" fontId="13" fillId="11" borderId="2" xfId="0" applyFont="1" applyFill="1" applyBorder="1" applyAlignment="1">
      <alignment horizontal="left" vertical="center"/>
    </xf>
    <xf numFmtId="164" fontId="13" fillId="11" borderId="2" xfId="0" applyNumberFormat="1" applyFont="1" applyFill="1" applyBorder="1" applyAlignment="1">
      <alignment horizontal="right" vertical="center"/>
    </xf>
    <xf numFmtId="165" fontId="13" fillId="11" borderId="2" xfId="0" applyNumberFormat="1" applyFont="1" applyFill="1" applyBorder="1" applyAlignment="1">
      <alignment horizontal="right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64" fontId="14" fillId="5" borderId="1" xfId="0" applyNumberFormat="1" applyFont="1" applyFill="1" applyBorder="1" applyAlignment="1">
      <alignment horizontal="right" vertical="center"/>
    </xf>
    <xf numFmtId="165" fontId="14" fillId="5" borderId="1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64" fontId="14" fillId="8" borderId="1" xfId="0" applyNumberFormat="1" applyFont="1" applyFill="1" applyBorder="1" applyAlignment="1">
      <alignment horizontal="right" vertical="center"/>
    </xf>
    <xf numFmtId="165" fontId="14" fillId="8" borderId="1" xfId="0" applyNumberFormat="1" applyFont="1" applyFill="1" applyBorder="1" applyAlignment="1">
      <alignment horizontal="right" vertical="center"/>
    </xf>
    <xf numFmtId="0" fontId="15" fillId="8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4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4" customWidth="1"/>
    <col min="3" max="3" width="18" customWidth="1"/>
    <col min="4" max="4" width="22" customWidth="1"/>
    <col min="5" max="5" width="16" customWidth="1"/>
    <col min="6" max="8" width="18" customWidth="1"/>
    <col min="9" max="9" width="14" customWidth="1"/>
    <col min="10" max="10" width="26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28" customHeight="1" spans="1:10" x14ac:dyDescent="0.25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4" t="s">
        <v>11</v>
      </c>
    </row>
    <row r="5" ht="24" customHeight="1" spans="1:10" x14ac:dyDescent="0.25">
      <c r="A5" s="6">
        <v>1</v>
      </c>
      <c r="B5" s="7" t="s">
        <v>12</v>
      </c>
      <c r="C5" s="8" t="s">
        <v>13</v>
      </c>
      <c r="D5" s="9" t="s">
        <v>14</v>
      </c>
      <c r="E5" s="10" t="s">
        <v>15</v>
      </c>
      <c r="F5" s="11">
        <v>20000</v>
      </c>
      <c r="G5" s="11">
        <v>23000</v>
      </c>
      <c r="H5" s="12">
        <f>G5-F5</f>
      </c>
      <c r="I5" s="13">
        <f>IF(F5&gt;0,(G5-F5)/F5,0)</f>
      </c>
      <c r="J5" s="14" t="s">
        <v>16</v>
      </c>
    </row>
    <row r="6" ht="24" customHeight="1" spans="1:10" x14ac:dyDescent="0.25">
      <c r="A6" s="15">
        <v>2</v>
      </c>
      <c r="B6" s="16" t="s">
        <v>17</v>
      </c>
      <c r="C6" s="17" t="s">
        <v>13</v>
      </c>
      <c r="D6" s="9" t="s">
        <v>14</v>
      </c>
      <c r="E6" s="10" t="s">
        <v>15</v>
      </c>
      <c r="F6" s="18">
        <v>30000</v>
      </c>
      <c r="G6" s="18">
        <v>33000</v>
      </c>
      <c r="H6" s="19">
        <f>G6-F6</f>
      </c>
      <c r="I6" s="20">
        <f>IF(F6&gt;0,(G6-F6)/F6,0)</f>
      </c>
      <c r="J6" s="21" t="s">
        <v>18</v>
      </c>
    </row>
    <row r="7" ht="24" customHeight="1" spans="1:10" x14ac:dyDescent="0.25">
      <c r="A7" s="6">
        <v>3</v>
      </c>
      <c r="B7" s="7" t="s">
        <v>19</v>
      </c>
      <c r="C7" s="8" t="s">
        <v>13</v>
      </c>
      <c r="D7" s="22" t="s">
        <v>20</v>
      </c>
      <c r="E7" s="23" t="s">
        <v>21</v>
      </c>
      <c r="F7" s="11">
        <v>13000</v>
      </c>
      <c r="G7" s="11">
        <v>25000</v>
      </c>
      <c r="H7" s="12">
        <f>G7-F7</f>
      </c>
      <c r="I7" s="13">
        <f>IF(F7&gt;0,(G7-F7)/F7,0)</f>
      </c>
      <c r="J7" s="14" t="s">
        <v>22</v>
      </c>
    </row>
    <row r="8" ht="24" customHeight="1" spans="1:10" x14ac:dyDescent="0.25">
      <c r="A8" s="15">
        <v>4</v>
      </c>
      <c r="B8" s="16" t="s">
        <v>23</v>
      </c>
      <c r="C8" s="17" t="s">
        <v>13</v>
      </c>
      <c r="D8" s="22" t="s">
        <v>20</v>
      </c>
      <c r="E8" s="23" t="s">
        <v>21</v>
      </c>
      <c r="F8" s="18">
        <v>18000</v>
      </c>
      <c r="G8" s="18">
        <v>21000</v>
      </c>
      <c r="H8" s="19">
        <f>G8-F8</f>
      </c>
      <c r="I8" s="20">
        <f>IF(F8&gt;0,(G8-F8)/F8,0)</f>
      </c>
      <c r="J8" s="21" t="s">
        <v>24</v>
      </c>
    </row>
    <row r="9" ht="24" customHeight="1" spans="1:10" x14ac:dyDescent="0.25">
      <c r="A9" s="6">
        <v>5</v>
      </c>
      <c r="B9" s="7" t="s">
        <v>25</v>
      </c>
      <c r="C9" s="8" t="s">
        <v>13</v>
      </c>
      <c r="D9" s="22" t="s">
        <v>20</v>
      </c>
      <c r="E9" s="23" t="s">
        <v>21</v>
      </c>
      <c r="F9" s="11">
        <v>28000</v>
      </c>
      <c r="G9" s="11">
        <v>31000</v>
      </c>
      <c r="H9" s="12">
        <f>G9-F9</f>
      </c>
      <c r="I9" s="13">
        <f>IF(F9&gt;0,(G9-F9)/F9,0)</f>
      </c>
      <c r="J9" s="14" t="s">
        <v>26</v>
      </c>
    </row>
    <row r="10" ht="24" customHeight="1" spans="1:10" x14ac:dyDescent="0.25">
      <c r="A10" s="15">
        <v>6</v>
      </c>
      <c r="B10" s="16" t="s">
        <v>27</v>
      </c>
      <c r="C10" s="17" t="s">
        <v>13</v>
      </c>
      <c r="D10" s="9" t="s">
        <v>28</v>
      </c>
      <c r="E10" s="23" t="s">
        <v>21</v>
      </c>
      <c r="F10" s="18">
        <v>45000</v>
      </c>
      <c r="G10" s="18">
        <v>49000</v>
      </c>
      <c r="H10" s="19">
        <f>G10-F10</f>
      </c>
      <c r="I10" s="20">
        <f>IF(F10&gt;0,(G10-F10)/F10,0)</f>
      </c>
      <c r="J10" s="21" t="s">
        <v>29</v>
      </c>
    </row>
    <row r="11" ht="24" customHeight="1" spans="1:10" x14ac:dyDescent="0.25">
      <c r="A11" s="6">
        <v>7</v>
      </c>
      <c r="B11" s="7" t="s">
        <v>30</v>
      </c>
      <c r="C11" s="8" t="s">
        <v>13</v>
      </c>
      <c r="D11" s="9" t="s">
        <v>28</v>
      </c>
      <c r="E11" s="23" t="s">
        <v>21</v>
      </c>
      <c r="F11" s="11">
        <v>60000</v>
      </c>
      <c r="G11" s="11">
        <v>65000</v>
      </c>
      <c r="H11" s="12">
        <f>G11-F11</f>
      </c>
      <c r="I11" s="13">
        <f>IF(F11&gt;0,(G11-F11)/F11,0)</f>
      </c>
      <c r="J11" s="14" t="s">
        <v>31</v>
      </c>
    </row>
    <row r="12" ht="24" customHeight="1" spans="1:10" x14ac:dyDescent="0.25">
      <c r="A12" s="15">
        <v>8</v>
      </c>
      <c r="B12" s="16" t="s">
        <v>32</v>
      </c>
      <c r="C12" s="17" t="s">
        <v>13</v>
      </c>
      <c r="D12" s="9" t="s">
        <v>14</v>
      </c>
      <c r="E12" s="23" t="s">
        <v>21</v>
      </c>
      <c r="F12" s="18">
        <v>100000</v>
      </c>
      <c r="G12" s="18">
        <v>108000</v>
      </c>
      <c r="H12" s="19">
        <f>G12-F12</f>
      </c>
      <c r="I12" s="20">
        <f>IF(F12&gt;0,(G12-F12)/F12,0)</f>
      </c>
      <c r="J12" s="21" t="s">
        <v>33</v>
      </c>
    </row>
    <row r="13" ht="24" customHeight="1" spans="1:10" x14ac:dyDescent="0.25">
      <c r="A13" s="6">
        <v>9</v>
      </c>
      <c r="B13" s="7" t="s">
        <v>34</v>
      </c>
      <c r="C13" s="8" t="s">
        <v>13</v>
      </c>
      <c r="D13" s="9" t="s">
        <v>14</v>
      </c>
      <c r="E13" s="23" t="s">
        <v>21</v>
      </c>
      <c r="F13" s="11">
        <v>9500</v>
      </c>
      <c r="G13" s="11">
        <v>50000</v>
      </c>
      <c r="H13" s="12">
        <f>G13-F13</f>
      </c>
      <c r="I13" s="13">
        <f>IF(F13&gt;0,(G13-F13)/F13,0)</f>
      </c>
      <c r="J13" s="14" t="s">
        <v>35</v>
      </c>
    </row>
    <row r="14" ht="24" customHeight="1" spans="1:10" x14ac:dyDescent="0.25">
      <c r="A14" s="15">
        <v>10</v>
      </c>
      <c r="B14" s="16" t="s">
        <v>36</v>
      </c>
      <c r="C14" s="17" t="s">
        <v>37</v>
      </c>
      <c r="D14" s="9" t="s">
        <v>14</v>
      </c>
      <c r="E14" s="23" t="s">
        <v>21</v>
      </c>
      <c r="F14" s="18">
        <v>5000</v>
      </c>
      <c r="G14" s="18">
        <v>8000</v>
      </c>
      <c r="H14" s="19">
        <f>G14-F14</f>
      </c>
      <c r="I14" s="20">
        <f>IF(F14&gt;0,(G14-F14)/F14,0)</f>
      </c>
      <c r="J14" s="21" t="s">
        <v>38</v>
      </c>
    </row>
    <row r="15" ht="24" customHeight="1" spans="1:10" x14ac:dyDescent="0.25">
      <c r="A15" s="6">
        <v>11</v>
      </c>
      <c r="B15" s="7" t="s">
        <v>39</v>
      </c>
      <c r="C15" s="8" t="s">
        <v>37</v>
      </c>
      <c r="D15" s="22" t="s">
        <v>40</v>
      </c>
      <c r="E15" s="23" t="s">
        <v>21</v>
      </c>
      <c r="F15" s="11">
        <v>4000</v>
      </c>
      <c r="G15" s="11">
        <v>7000</v>
      </c>
      <c r="H15" s="12">
        <f>G15-F15</f>
      </c>
      <c r="I15" s="13">
        <f>IF(F15&gt;0,(G15-F15)/F15,0)</f>
      </c>
      <c r="J15" s="14" t="s">
        <v>41</v>
      </c>
    </row>
    <row r="16" ht="24" customHeight="1" spans="1:10" x14ac:dyDescent="0.25">
      <c r="A16" s="15">
        <v>12</v>
      </c>
      <c r="B16" s="16" t="s">
        <v>42</v>
      </c>
      <c r="C16" s="17" t="s">
        <v>37</v>
      </c>
      <c r="D16" s="22" t="s">
        <v>40</v>
      </c>
      <c r="E16" s="23" t="s">
        <v>21</v>
      </c>
      <c r="F16" s="18">
        <v>20000</v>
      </c>
      <c r="G16" s="18">
        <v>29000</v>
      </c>
      <c r="H16" s="19">
        <f>G16-F16</f>
      </c>
      <c r="I16" s="20">
        <f>IF(F16&gt;0,(G16-F16)/F16,0)</f>
      </c>
      <c r="J16" s="21" t="s">
        <v>43</v>
      </c>
    </row>
    <row r="17" ht="24" customHeight="1" spans="1:10" x14ac:dyDescent="0.25">
      <c r="A17" s="6">
        <v>13</v>
      </c>
      <c r="B17" s="7" t="s">
        <v>44</v>
      </c>
      <c r="C17" s="8" t="s">
        <v>37</v>
      </c>
      <c r="D17" s="22" t="s">
        <v>40</v>
      </c>
      <c r="E17" s="23" t="s">
        <v>21</v>
      </c>
      <c r="F17" s="11">
        <v>10500</v>
      </c>
      <c r="G17" s="11">
        <v>14000</v>
      </c>
      <c r="H17" s="12">
        <f>G17-F17</f>
      </c>
      <c r="I17" s="13">
        <f>IF(F17&gt;0,(G17-F17)/F17,0)</f>
      </c>
      <c r="J17" s="14" t="s">
        <v>45</v>
      </c>
    </row>
    <row r="18" ht="24" customHeight="1" spans="1:10" x14ac:dyDescent="0.25">
      <c r="A18" s="15">
        <v>14</v>
      </c>
      <c r="B18" s="16" t="s">
        <v>46</v>
      </c>
      <c r="C18" s="17" t="s">
        <v>37</v>
      </c>
      <c r="D18" s="22" t="s">
        <v>47</v>
      </c>
      <c r="E18" s="23" t="s">
        <v>21</v>
      </c>
      <c r="F18" s="18">
        <v>11500</v>
      </c>
      <c r="G18" s="18">
        <v>14000</v>
      </c>
      <c r="H18" s="19">
        <f>G18-F18</f>
      </c>
      <c r="I18" s="20">
        <f>IF(F18&gt;0,(G18-F18)/F18,0)</f>
      </c>
      <c r="J18" s="21" t="s">
        <v>48</v>
      </c>
    </row>
    <row r="19" ht="24" customHeight="1" spans="1:10" x14ac:dyDescent="0.25">
      <c r="A19" s="6">
        <v>15</v>
      </c>
      <c r="B19" s="7" t="s">
        <v>49</v>
      </c>
      <c r="C19" s="8" t="s">
        <v>37</v>
      </c>
      <c r="D19" s="9" t="s">
        <v>14</v>
      </c>
      <c r="E19" s="10" t="s">
        <v>15</v>
      </c>
      <c r="F19" s="11">
        <v>5000</v>
      </c>
      <c r="G19" s="11">
        <v>12000</v>
      </c>
      <c r="H19" s="12">
        <f>G19-F19</f>
      </c>
      <c r="I19" s="13">
        <f>IF(F19&gt;0,(G19-F19)/F19,0)</f>
      </c>
      <c r="J19" s="14" t="s">
        <v>50</v>
      </c>
    </row>
    <row r="20" ht="24" customHeight="1" spans="1:10" x14ac:dyDescent="0.25">
      <c r="A20" s="15">
        <v>16</v>
      </c>
      <c r="B20" s="16" t="s">
        <v>51</v>
      </c>
      <c r="C20" s="17" t="s">
        <v>37</v>
      </c>
      <c r="D20" s="22" t="s">
        <v>20</v>
      </c>
      <c r="E20" s="23" t="s">
        <v>21</v>
      </c>
      <c r="F20" s="18">
        <v>1300</v>
      </c>
      <c r="G20" s="18">
        <v>4000</v>
      </c>
      <c r="H20" s="19">
        <f>G20-F20</f>
      </c>
      <c r="I20" s="20">
        <f>IF(F20&gt;0,(G20-F20)/F20,0)</f>
      </c>
      <c r="J20" s="21" t="s">
        <v>52</v>
      </c>
    </row>
    <row r="21" ht="24" customHeight="1" spans="1:10" x14ac:dyDescent="0.25">
      <c r="A21" s="6">
        <v>17</v>
      </c>
      <c r="B21" s="7" t="s">
        <v>53</v>
      </c>
      <c r="C21" s="8" t="s">
        <v>37</v>
      </c>
      <c r="D21" s="22" t="s">
        <v>20</v>
      </c>
      <c r="E21" s="23" t="s">
        <v>21</v>
      </c>
      <c r="F21" s="11">
        <v>2500</v>
      </c>
      <c r="G21" s="11">
        <v>5000</v>
      </c>
      <c r="H21" s="12">
        <f>G21-F21</f>
      </c>
      <c r="I21" s="13">
        <f>IF(F21&gt;0,(G21-F21)/F21,0)</f>
      </c>
      <c r="J21" s="14" t="s">
        <v>54</v>
      </c>
    </row>
    <row r="22" ht="24" customHeight="1" spans="1:10" x14ac:dyDescent="0.25">
      <c r="A22" s="15">
        <v>18</v>
      </c>
      <c r="B22" s="16" t="s">
        <v>55</v>
      </c>
      <c r="C22" s="17" t="s">
        <v>37</v>
      </c>
      <c r="D22" s="9" t="s">
        <v>56</v>
      </c>
      <c r="E22" s="23" t="s">
        <v>21</v>
      </c>
      <c r="F22" s="18">
        <v>2300</v>
      </c>
      <c r="G22" s="18">
        <v>5000</v>
      </c>
      <c r="H22" s="19">
        <f>G22-F22</f>
      </c>
      <c r="I22" s="20">
        <f>IF(F22&gt;0,(G22-F22)/F22,0)</f>
      </c>
      <c r="J22" s="21" t="s">
        <v>57</v>
      </c>
    </row>
    <row r="23" ht="24" customHeight="1" spans="1:10" x14ac:dyDescent="0.25">
      <c r="A23" s="6">
        <v>19</v>
      </c>
      <c r="B23" s="7" t="s">
        <v>58</v>
      </c>
      <c r="C23" s="8" t="s">
        <v>37</v>
      </c>
      <c r="D23" s="22" t="s">
        <v>40</v>
      </c>
      <c r="E23" s="23" t="s">
        <v>21</v>
      </c>
      <c r="F23" s="11">
        <v>10000</v>
      </c>
      <c r="G23" s="11">
        <v>13000</v>
      </c>
      <c r="H23" s="12">
        <f>G23-F23</f>
      </c>
      <c r="I23" s="13">
        <f>IF(F23&gt;0,(G23-F23)/F23,0)</f>
      </c>
      <c r="J23" s="14" t="s">
        <v>59</v>
      </c>
    </row>
    <row r="24" ht="24" customHeight="1" spans="1:10" x14ac:dyDescent="0.25">
      <c r="A24" s="15">
        <v>20</v>
      </c>
      <c r="B24" s="16" t="s">
        <v>60</v>
      </c>
      <c r="C24" s="17" t="s">
        <v>37</v>
      </c>
      <c r="D24" s="22" t="s">
        <v>40</v>
      </c>
      <c r="E24" s="10" t="s">
        <v>15</v>
      </c>
      <c r="F24" s="18">
        <v>7000</v>
      </c>
      <c r="G24" s="18">
        <v>10000</v>
      </c>
      <c r="H24" s="19">
        <f>G24-F24</f>
      </c>
      <c r="I24" s="20">
        <f>IF(F24&gt;0,(G24-F24)/F24,0)</f>
      </c>
      <c r="J24" s="21" t="s">
        <v>61</v>
      </c>
    </row>
    <row r="25" ht="24" customHeight="1" spans="1:10" x14ac:dyDescent="0.25">
      <c r="A25" s="6">
        <v>21</v>
      </c>
      <c r="B25" s="7" t="s">
        <v>62</v>
      </c>
      <c r="C25" s="8" t="s">
        <v>37</v>
      </c>
      <c r="D25" s="9" t="s">
        <v>14</v>
      </c>
      <c r="E25" s="10" t="s">
        <v>15</v>
      </c>
      <c r="F25" s="11">
        <v>70000</v>
      </c>
      <c r="G25" s="11">
        <v>76000</v>
      </c>
      <c r="H25" s="12">
        <f>G25-F25</f>
      </c>
      <c r="I25" s="13">
        <f>IF(F25&gt;0,(G25-F25)/F25,0)</f>
      </c>
      <c r="J25" s="14" t="s">
        <v>63</v>
      </c>
    </row>
    <row r="26" ht="24" customHeight="1" spans="1:10" x14ac:dyDescent="0.25">
      <c r="A26" s="15">
        <v>22</v>
      </c>
      <c r="B26" s="16" t="s">
        <v>64</v>
      </c>
      <c r="C26" s="17" t="s">
        <v>37</v>
      </c>
      <c r="D26" s="9" t="s">
        <v>14</v>
      </c>
      <c r="E26" s="10" t="s">
        <v>15</v>
      </c>
      <c r="F26" s="18">
        <v>47000</v>
      </c>
      <c r="G26" s="18">
        <v>51000</v>
      </c>
      <c r="H26" s="19">
        <f>G26-F26</f>
      </c>
      <c r="I26" s="20">
        <f>IF(F26&gt;0,(G26-F26)/F26,0)</f>
      </c>
      <c r="J26" s="21" t="s">
        <v>65</v>
      </c>
    </row>
    <row r="27" ht="24" customHeight="1" spans="1:10" x14ac:dyDescent="0.25">
      <c r="A27" s="6">
        <v>23</v>
      </c>
      <c r="B27" s="7" t="s">
        <v>66</v>
      </c>
      <c r="C27" s="8" t="s">
        <v>37</v>
      </c>
      <c r="D27" s="9" t="s">
        <v>14</v>
      </c>
      <c r="E27" s="10" t="s">
        <v>15</v>
      </c>
      <c r="F27" s="11">
        <v>50000</v>
      </c>
      <c r="G27" s="11">
        <v>54000</v>
      </c>
      <c r="H27" s="12">
        <f>G27-F27</f>
      </c>
      <c r="I27" s="13">
        <f>IF(F27&gt;0,(G27-F27)/F27,0)</f>
      </c>
      <c r="J27" s="14" t="s">
        <v>67</v>
      </c>
    </row>
    <row r="28" ht="24" customHeight="1" spans="1:10" x14ac:dyDescent="0.25">
      <c r="A28" s="15">
        <v>24</v>
      </c>
      <c r="B28" s="16" t="s">
        <v>68</v>
      </c>
      <c r="C28" s="17" t="s">
        <v>37</v>
      </c>
      <c r="D28" s="9" t="s">
        <v>14</v>
      </c>
      <c r="E28" s="23" t="s">
        <v>21</v>
      </c>
      <c r="F28" s="18">
        <v>4500</v>
      </c>
      <c r="G28" s="18">
        <v>7500</v>
      </c>
      <c r="H28" s="19">
        <f>G28-F28</f>
      </c>
      <c r="I28" s="20">
        <f>IF(F28&gt;0,(G28-F28)/F28,0)</f>
      </c>
      <c r="J28" s="21" t="s">
        <v>69</v>
      </c>
    </row>
    <row r="29" ht="24" customHeight="1" spans="1:10" x14ac:dyDescent="0.25">
      <c r="A29" s="6">
        <v>25</v>
      </c>
      <c r="B29" s="7" t="s">
        <v>70</v>
      </c>
      <c r="C29" s="8" t="s">
        <v>37</v>
      </c>
      <c r="D29" s="9" t="s">
        <v>14</v>
      </c>
      <c r="E29" s="10" t="s">
        <v>15</v>
      </c>
      <c r="F29" s="11">
        <v>10000</v>
      </c>
      <c r="G29" s="11">
        <v>15000</v>
      </c>
      <c r="H29" s="12">
        <f>G29-F29</f>
      </c>
      <c r="I29" s="13">
        <f>IF(F29&gt;0,(G29-F29)/F29,0)</f>
      </c>
      <c r="J29" s="14" t="s">
        <v>71</v>
      </c>
    </row>
    <row r="30" ht="24" customHeight="1" spans="1:10" x14ac:dyDescent="0.25">
      <c r="A30" s="15">
        <v>26</v>
      </c>
      <c r="B30" s="16" t="s">
        <v>72</v>
      </c>
      <c r="C30" s="17" t="s">
        <v>37</v>
      </c>
      <c r="D30" s="9" t="s">
        <v>14</v>
      </c>
      <c r="E30" s="23" t="s">
        <v>21</v>
      </c>
      <c r="F30" s="18">
        <v>34000</v>
      </c>
      <c r="G30" s="18">
        <v>37000</v>
      </c>
      <c r="H30" s="19">
        <f>G30-F30</f>
      </c>
      <c r="I30" s="20">
        <f>IF(F30&gt;0,(G30-F30)/F30,0)</f>
      </c>
      <c r="J30" s="21" t="s">
        <v>73</v>
      </c>
    </row>
    <row r="31" ht="24" customHeight="1" spans="1:10" x14ac:dyDescent="0.25">
      <c r="A31" s="6">
        <v>27</v>
      </c>
      <c r="B31" s="7" t="s">
        <v>74</v>
      </c>
      <c r="C31" s="8" t="s">
        <v>37</v>
      </c>
      <c r="D31" s="9" t="s">
        <v>14</v>
      </c>
      <c r="E31" s="23" t="s">
        <v>21</v>
      </c>
      <c r="F31" s="11">
        <v>6500</v>
      </c>
      <c r="G31" s="11">
        <v>9500</v>
      </c>
      <c r="H31" s="12">
        <f>G31-F31</f>
      </c>
      <c r="I31" s="13">
        <f>IF(F31&gt;0,(G31-F31)/F31,0)</f>
      </c>
      <c r="J31" s="14" t="s">
        <v>75</v>
      </c>
    </row>
    <row r="32" ht="24" customHeight="1" spans="1:10" x14ac:dyDescent="0.25">
      <c r="A32" s="15">
        <v>28</v>
      </c>
      <c r="B32" s="16" t="s">
        <v>76</v>
      </c>
      <c r="C32" s="17" t="s">
        <v>37</v>
      </c>
      <c r="D32" s="22" t="s">
        <v>40</v>
      </c>
      <c r="E32" s="10" t="s">
        <v>15</v>
      </c>
      <c r="F32" s="18">
        <v>11000</v>
      </c>
      <c r="G32" s="18">
        <v>14000</v>
      </c>
      <c r="H32" s="19">
        <f>G32-F32</f>
      </c>
      <c r="I32" s="20">
        <f>IF(F32&gt;0,(G32-F32)/F32,0)</f>
      </c>
      <c r="J32" s="21" t="s">
        <v>77</v>
      </c>
    </row>
    <row r="33" ht="24" customHeight="1" spans="1:10" x14ac:dyDescent="0.25">
      <c r="A33" s="6">
        <v>29</v>
      </c>
      <c r="B33" s="7" t="s">
        <v>78</v>
      </c>
      <c r="C33" s="8" t="s">
        <v>37</v>
      </c>
      <c r="D33" s="22" t="s">
        <v>40</v>
      </c>
      <c r="E33" s="10" t="s">
        <v>15</v>
      </c>
      <c r="F33" s="11">
        <v>15000</v>
      </c>
      <c r="G33" s="11">
        <v>18000</v>
      </c>
      <c r="H33" s="12">
        <f>G33-F33</f>
      </c>
      <c r="I33" s="13">
        <f>IF(F33&gt;0,(G33-F33)/F33,0)</f>
      </c>
      <c r="J33" s="14" t="s">
        <v>79</v>
      </c>
    </row>
    <row r="34" ht="24" customHeight="1" spans="1:10" x14ac:dyDescent="0.25">
      <c r="A34" s="15">
        <v>30</v>
      </c>
      <c r="B34" s="16" t="s">
        <v>80</v>
      </c>
      <c r="C34" s="17" t="s">
        <v>37</v>
      </c>
      <c r="D34" s="22" t="s">
        <v>40</v>
      </c>
      <c r="E34" s="10" t="s">
        <v>15</v>
      </c>
      <c r="F34" s="18">
        <v>16500</v>
      </c>
      <c r="G34" s="18">
        <v>19000</v>
      </c>
      <c r="H34" s="19">
        <f>G34-F34</f>
      </c>
      <c r="I34" s="20">
        <f>IF(F34&gt;0,(G34-F34)/F34,0)</f>
      </c>
      <c r="J34" s="21" t="s">
        <v>81</v>
      </c>
    </row>
    <row r="35" ht="24" customHeight="1" spans="1:10" x14ac:dyDescent="0.25">
      <c r="A35" s="6">
        <v>31</v>
      </c>
      <c r="B35" s="7" t="s">
        <v>80</v>
      </c>
      <c r="C35" s="8" t="s">
        <v>37</v>
      </c>
      <c r="D35" s="22" t="s">
        <v>40</v>
      </c>
      <c r="E35" s="10" t="s">
        <v>15</v>
      </c>
      <c r="F35" s="11">
        <v>16000</v>
      </c>
      <c r="G35" s="11">
        <v>19000</v>
      </c>
      <c r="H35" s="12">
        <f>G35-F35</f>
      </c>
      <c r="I35" s="13">
        <f>IF(F35&gt;0,(G35-F35)/F35,0)</f>
      </c>
      <c r="J35" s="14" t="s">
        <v>82</v>
      </c>
    </row>
    <row r="36" ht="24" customHeight="1" spans="1:10" x14ac:dyDescent="0.25">
      <c r="A36" s="15">
        <v>32</v>
      </c>
      <c r="B36" s="16" t="s">
        <v>83</v>
      </c>
      <c r="C36" s="17" t="s">
        <v>37</v>
      </c>
      <c r="D36" s="22" t="s">
        <v>40</v>
      </c>
      <c r="E36" s="10" t="s">
        <v>15</v>
      </c>
      <c r="F36" s="18">
        <v>13000</v>
      </c>
      <c r="G36" s="18">
        <v>16000</v>
      </c>
      <c r="H36" s="19">
        <f>G36-F36</f>
      </c>
      <c r="I36" s="20">
        <f>IF(F36&gt;0,(G36-F36)/F36,0)</f>
      </c>
      <c r="J36" s="21" t="s">
        <v>84</v>
      </c>
    </row>
    <row r="37" ht="24" customHeight="1" spans="1:10" x14ac:dyDescent="0.25">
      <c r="A37" s="6">
        <v>33</v>
      </c>
      <c r="B37" s="7" t="s">
        <v>85</v>
      </c>
      <c r="C37" s="8" t="s">
        <v>37</v>
      </c>
      <c r="D37" s="9" t="s">
        <v>14</v>
      </c>
      <c r="E37" s="23" t="s">
        <v>21</v>
      </c>
      <c r="F37" s="11">
        <v>27000</v>
      </c>
      <c r="G37" s="11">
        <v>30000</v>
      </c>
      <c r="H37" s="12">
        <f>G37-F37</f>
      </c>
      <c r="I37" s="13">
        <f>IF(F37&gt;0,(G37-F37)/F37,0)</f>
      </c>
      <c r="J37" s="14" t="s">
        <v>86</v>
      </c>
    </row>
    <row r="38" ht="24" customHeight="1" spans="1:10" x14ac:dyDescent="0.25">
      <c r="A38" s="15">
        <v>34</v>
      </c>
      <c r="B38" s="16" t="s">
        <v>87</v>
      </c>
      <c r="C38" s="17" t="s">
        <v>37</v>
      </c>
      <c r="D38" s="22" t="s">
        <v>40</v>
      </c>
      <c r="E38" s="23" t="s">
        <v>21</v>
      </c>
      <c r="F38" s="18">
        <v>15000</v>
      </c>
      <c r="G38" s="18">
        <v>19500</v>
      </c>
      <c r="H38" s="19">
        <f>G38-F38</f>
      </c>
      <c r="I38" s="20">
        <f>IF(F38&gt;0,(G38-F38)/F38,0)</f>
      </c>
      <c r="J38" s="21" t="s">
        <v>88</v>
      </c>
    </row>
    <row r="39" ht="24" customHeight="1" spans="1:10" x14ac:dyDescent="0.25">
      <c r="A39" s="6">
        <v>35</v>
      </c>
      <c r="B39" s="7" t="s">
        <v>89</v>
      </c>
      <c r="C39" s="8" t="s">
        <v>37</v>
      </c>
      <c r="D39" s="9" t="s">
        <v>14</v>
      </c>
      <c r="E39" s="23" t="s">
        <v>21</v>
      </c>
      <c r="F39" s="11">
        <v>6500</v>
      </c>
      <c r="G39" s="11">
        <v>12000</v>
      </c>
      <c r="H39" s="12">
        <f>G39-F39</f>
      </c>
      <c r="I39" s="13">
        <f>IF(F39&gt;0,(G39-F39)/F39,0)</f>
      </c>
      <c r="J39" s="14" t="s">
        <v>90</v>
      </c>
    </row>
    <row r="40" ht="24" customHeight="1" spans="1:10" x14ac:dyDescent="0.25">
      <c r="A40" s="15">
        <v>36</v>
      </c>
      <c r="B40" s="16" t="s">
        <v>91</v>
      </c>
      <c r="C40" s="17" t="s">
        <v>37</v>
      </c>
      <c r="D40" s="9" t="s">
        <v>14</v>
      </c>
      <c r="E40" s="23" t="s">
        <v>21</v>
      </c>
      <c r="F40" s="18">
        <v>30000</v>
      </c>
      <c r="G40" s="18">
        <v>33000</v>
      </c>
      <c r="H40" s="19">
        <f>G40-F40</f>
      </c>
      <c r="I40" s="20">
        <f>IF(F40&gt;0,(G40-F40)/F40,0)</f>
      </c>
      <c r="J40" s="21" t="s">
        <v>92</v>
      </c>
    </row>
    <row r="41" ht="24" customHeight="1" spans="1:10" x14ac:dyDescent="0.25">
      <c r="A41" s="6">
        <v>37</v>
      </c>
      <c r="B41" s="7" t="s">
        <v>93</v>
      </c>
      <c r="C41" s="8" t="s">
        <v>37</v>
      </c>
      <c r="D41" s="22" t="s">
        <v>40</v>
      </c>
      <c r="E41" s="23" t="s">
        <v>21</v>
      </c>
      <c r="F41" s="11">
        <v>8500</v>
      </c>
      <c r="G41" s="11">
        <v>12000</v>
      </c>
      <c r="H41" s="12">
        <f>G41-F41</f>
      </c>
      <c r="I41" s="13">
        <f>IF(F41&gt;0,(G41-F41)/F41,0)</f>
      </c>
      <c r="J41" s="14" t="s">
        <v>94</v>
      </c>
    </row>
    <row r="42" ht="26" customHeight="1" spans="1:10" x14ac:dyDescent="0.25">
      <c r="A42" s="24" t="s">
        <v>95</v>
      </c>
      <c r="B42" s="25" t="s">
        <v>96</v>
      </c>
      <c r="C42" s="24" t="s">
        <v>95</v>
      </c>
      <c r="D42" s="24" t="s">
        <v>95</v>
      </c>
      <c r="E42" s="24" t="s">
        <v>95</v>
      </c>
      <c r="F42" s="26">
        <f>SUM(F5:F41)</f>
      </c>
      <c r="G42" s="26">
        <f>SUM(G5:G41)</f>
      </c>
      <c r="H42" s="26">
        <f>SUM(H5:H41)</f>
      </c>
      <c r="I42" s="27">
        <f>AVERAGE(I5:I41)</f>
      </c>
      <c r="J42" s="24" t="s">
        <v>95</v>
      </c>
    </row>
  </sheetData>
  <autoFilter ref="A4:J41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23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4" customWidth="1"/>
    <col min="3" max="3" width="18" customWidth="1"/>
    <col min="4" max="4" width="22" customWidth="1"/>
    <col min="5" max="5" width="14" customWidth="1"/>
    <col min="6" max="6" width="16" customWidth="1"/>
    <col min="7" max="9" width="18" customWidth="1"/>
    <col min="10" max="10" width="14" customWidth="1"/>
    <col min="11" max="11" width="26" customWidth="1"/>
  </cols>
  <sheetData>
    <row r="1" ht="36" customHeight="1" spans="1:11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98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8" customHeight="1" x14ac:dyDescent="0.25"/>
    <row r="4" ht="28" customHeight="1" spans="1:11" x14ac:dyDescent="0.25">
      <c r="A4" s="3" t="s">
        <v>2</v>
      </c>
      <c r="B4" s="4" t="s">
        <v>3</v>
      </c>
      <c r="C4" s="3" t="s">
        <v>4</v>
      </c>
      <c r="D4" s="3" t="s">
        <v>5</v>
      </c>
      <c r="E4" s="3" t="s">
        <v>99</v>
      </c>
      <c r="F4" s="3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4" t="s">
        <v>11</v>
      </c>
    </row>
    <row r="5" ht="22" customHeight="1" spans="1:11" x14ac:dyDescent="0.25">
      <c r="A5" s="28">
        <v>1</v>
      </c>
      <c r="B5" s="29" t="s">
        <v>12</v>
      </c>
      <c r="C5" s="28" t="s">
        <v>13</v>
      </c>
      <c r="D5" s="30" t="s">
        <v>14</v>
      </c>
      <c r="E5" s="31" t="s">
        <v>100</v>
      </c>
      <c r="F5" s="10" t="s">
        <v>15</v>
      </c>
      <c r="G5" s="32">
        <v>20000</v>
      </c>
      <c r="H5" s="32">
        <v>23000</v>
      </c>
      <c r="I5" s="32">
        <f>H5-G5</f>
      </c>
      <c r="J5" s="33">
        <f>IF(G5&gt;0,(H5-G5)/G5,0)</f>
      </c>
      <c r="K5" s="34" t="s">
        <v>16</v>
      </c>
    </row>
    <row r="6" ht="22" customHeight="1" spans="1:11" x14ac:dyDescent="0.25">
      <c r="A6" s="35">
        <v>2</v>
      </c>
      <c r="B6" s="36" t="s">
        <v>17</v>
      </c>
      <c r="C6" s="35" t="s">
        <v>13</v>
      </c>
      <c r="D6" s="37" t="s">
        <v>14</v>
      </c>
      <c r="E6" s="38" t="s">
        <v>100</v>
      </c>
      <c r="F6" s="10" t="s">
        <v>15</v>
      </c>
      <c r="G6" s="39">
        <v>30000</v>
      </c>
      <c r="H6" s="39">
        <v>33000</v>
      </c>
      <c r="I6" s="39">
        <f>H6-G6</f>
      </c>
      <c r="J6" s="40">
        <f>IF(G6&gt;0,(H6-G6)/G6,0)</f>
      </c>
      <c r="K6" s="41" t="s">
        <v>18</v>
      </c>
    </row>
    <row r="7" ht="22" customHeight="1" spans="1:11" x14ac:dyDescent="0.25">
      <c r="A7" s="28">
        <v>3</v>
      </c>
      <c r="B7" s="29" t="s">
        <v>19</v>
      </c>
      <c r="C7" s="28" t="s">
        <v>13</v>
      </c>
      <c r="D7" s="42" t="s">
        <v>20</v>
      </c>
      <c r="E7" s="31" t="s">
        <v>100</v>
      </c>
      <c r="F7" s="23" t="s">
        <v>21</v>
      </c>
      <c r="G7" s="32">
        <v>13000</v>
      </c>
      <c r="H7" s="32">
        <v>25000</v>
      </c>
      <c r="I7" s="32">
        <f>H7-G7</f>
      </c>
      <c r="J7" s="33">
        <f>IF(G7&gt;0,(H7-G7)/G7,0)</f>
      </c>
      <c r="K7" s="34" t="s">
        <v>22</v>
      </c>
    </row>
    <row r="8" ht="22" customHeight="1" spans="1:11" x14ac:dyDescent="0.25">
      <c r="A8" s="35">
        <v>4</v>
      </c>
      <c r="B8" s="36" t="s">
        <v>23</v>
      </c>
      <c r="C8" s="35" t="s">
        <v>13</v>
      </c>
      <c r="D8" s="43" t="s">
        <v>20</v>
      </c>
      <c r="E8" s="38" t="s">
        <v>100</v>
      </c>
      <c r="F8" s="23" t="s">
        <v>21</v>
      </c>
      <c r="G8" s="39">
        <v>18000</v>
      </c>
      <c r="H8" s="39">
        <v>21000</v>
      </c>
      <c r="I8" s="39">
        <f>H8-G8</f>
      </c>
      <c r="J8" s="40">
        <f>IF(G8&gt;0,(H8-G8)/G8,0)</f>
      </c>
      <c r="K8" s="41" t="s">
        <v>24</v>
      </c>
    </row>
    <row r="9" ht="22" customHeight="1" spans="1:11" x14ac:dyDescent="0.25">
      <c r="A9" s="28">
        <v>5</v>
      </c>
      <c r="B9" s="29" t="s">
        <v>25</v>
      </c>
      <c r="C9" s="28" t="s">
        <v>13</v>
      </c>
      <c r="D9" s="42" t="s">
        <v>20</v>
      </c>
      <c r="E9" s="31" t="s">
        <v>100</v>
      </c>
      <c r="F9" s="23" t="s">
        <v>21</v>
      </c>
      <c r="G9" s="32">
        <v>28000</v>
      </c>
      <c r="H9" s="32">
        <v>31000</v>
      </c>
      <c r="I9" s="32">
        <f>H9-G9</f>
      </c>
      <c r="J9" s="33">
        <f>IF(G9&gt;0,(H9-G9)/G9,0)</f>
      </c>
      <c r="K9" s="34" t="s">
        <v>26</v>
      </c>
    </row>
    <row r="10" ht="22" customHeight="1" spans="1:11" x14ac:dyDescent="0.25">
      <c r="A10" s="35">
        <v>6</v>
      </c>
      <c r="B10" s="36" t="s">
        <v>27</v>
      </c>
      <c r="C10" s="35" t="s">
        <v>13</v>
      </c>
      <c r="D10" s="37" t="s">
        <v>28</v>
      </c>
      <c r="E10" s="38" t="s">
        <v>100</v>
      </c>
      <c r="F10" s="23" t="s">
        <v>21</v>
      </c>
      <c r="G10" s="39">
        <v>45000</v>
      </c>
      <c r="H10" s="39">
        <v>49000</v>
      </c>
      <c r="I10" s="39">
        <f>H10-G10</f>
      </c>
      <c r="J10" s="40">
        <f>IF(G10&gt;0,(H10-G10)/G10,0)</f>
      </c>
      <c r="K10" s="41" t="s">
        <v>29</v>
      </c>
    </row>
    <row r="11" ht="22" customHeight="1" spans="1:11" x14ac:dyDescent="0.25">
      <c r="A11" s="28">
        <v>7</v>
      </c>
      <c r="B11" s="29" t="s">
        <v>30</v>
      </c>
      <c r="C11" s="28" t="s">
        <v>13</v>
      </c>
      <c r="D11" s="30" t="s">
        <v>28</v>
      </c>
      <c r="E11" s="31" t="s">
        <v>100</v>
      </c>
      <c r="F11" s="23" t="s">
        <v>21</v>
      </c>
      <c r="G11" s="32">
        <v>60000</v>
      </c>
      <c r="H11" s="32">
        <v>65000</v>
      </c>
      <c r="I11" s="32">
        <f>H11-G11</f>
      </c>
      <c r="J11" s="33">
        <f>IF(G11&gt;0,(H11-G11)/G11,0)</f>
      </c>
      <c r="K11" s="34" t="s">
        <v>31</v>
      </c>
    </row>
    <row r="12" ht="22" customHeight="1" spans="1:11" x14ac:dyDescent="0.25">
      <c r="A12" s="35">
        <v>8</v>
      </c>
      <c r="B12" s="36" t="s">
        <v>32</v>
      </c>
      <c r="C12" s="35" t="s">
        <v>13</v>
      </c>
      <c r="D12" s="37" t="s">
        <v>14</v>
      </c>
      <c r="E12" s="38" t="s">
        <v>100</v>
      </c>
      <c r="F12" s="23" t="s">
        <v>21</v>
      </c>
      <c r="G12" s="39">
        <v>100000</v>
      </c>
      <c r="H12" s="39">
        <v>108000</v>
      </c>
      <c r="I12" s="39">
        <f>H12-G12</f>
      </c>
      <c r="J12" s="40">
        <f>IF(G12&gt;0,(H12-G12)/G12,0)</f>
      </c>
      <c r="K12" s="41" t="s">
        <v>33</v>
      </c>
    </row>
    <row r="13" ht="22" customHeight="1" spans="1:11" x14ac:dyDescent="0.25">
      <c r="A13" s="28">
        <v>9</v>
      </c>
      <c r="B13" s="29" t="s">
        <v>34</v>
      </c>
      <c r="C13" s="28" t="s">
        <v>13</v>
      </c>
      <c r="D13" s="30" t="s">
        <v>14</v>
      </c>
      <c r="E13" s="31" t="s">
        <v>100</v>
      </c>
      <c r="F13" s="23" t="s">
        <v>21</v>
      </c>
      <c r="G13" s="32">
        <v>9500</v>
      </c>
      <c r="H13" s="32">
        <v>50000</v>
      </c>
      <c r="I13" s="32">
        <f>H13-G13</f>
      </c>
      <c r="J13" s="33">
        <f>IF(G13&gt;0,(H13-G13)/G13,0)</f>
      </c>
      <c r="K13" s="34" t="s">
        <v>35</v>
      </c>
    </row>
    <row r="14" ht="22" customHeight="1" spans="1:11" x14ac:dyDescent="0.25">
      <c r="A14" s="35">
        <v>10</v>
      </c>
      <c r="B14" s="36" t="s">
        <v>36</v>
      </c>
      <c r="C14" s="35" t="s">
        <v>37</v>
      </c>
      <c r="D14" s="37" t="s">
        <v>14</v>
      </c>
      <c r="E14" s="38" t="s">
        <v>100</v>
      </c>
      <c r="F14" s="23" t="s">
        <v>21</v>
      </c>
      <c r="G14" s="39">
        <v>5000</v>
      </c>
      <c r="H14" s="39">
        <v>8000</v>
      </c>
      <c r="I14" s="39">
        <f>H14-G14</f>
      </c>
      <c r="J14" s="40">
        <f>IF(G14&gt;0,(H14-G14)/G14,0)</f>
      </c>
      <c r="K14" s="41" t="s">
        <v>38</v>
      </c>
    </row>
    <row r="15" ht="22" customHeight="1" spans="1:11" x14ac:dyDescent="0.25">
      <c r="A15" s="28">
        <v>11</v>
      </c>
      <c r="B15" s="29" t="s">
        <v>39</v>
      </c>
      <c r="C15" s="28" t="s">
        <v>37</v>
      </c>
      <c r="D15" s="42" t="s">
        <v>40</v>
      </c>
      <c r="E15" s="31" t="s">
        <v>100</v>
      </c>
      <c r="F15" s="23" t="s">
        <v>21</v>
      </c>
      <c r="G15" s="32">
        <v>4000</v>
      </c>
      <c r="H15" s="32">
        <v>7000</v>
      </c>
      <c r="I15" s="32">
        <f>H15-G15</f>
      </c>
      <c r="J15" s="33">
        <f>IF(G15&gt;0,(H15-G15)/G15,0)</f>
      </c>
      <c r="K15" s="34" t="s">
        <v>41</v>
      </c>
    </row>
    <row r="16" ht="22" customHeight="1" spans="1:11" x14ac:dyDescent="0.25">
      <c r="A16" s="35">
        <v>12</v>
      </c>
      <c r="B16" s="36" t="s">
        <v>42</v>
      </c>
      <c r="C16" s="35" t="s">
        <v>37</v>
      </c>
      <c r="D16" s="43" t="s">
        <v>40</v>
      </c>
      <c r="E16" s="38" t="s">
        <v>100</v>
      </c>
      <c r="F16" s="23" t="s">
        <v>21</v>
      </c>
      <c r="G16" s="39">
        <v>20000</v>
      </c>
      <c r="H16" s="39">
        <v>29000</v>
      </c>
      <c r="I16" s="39">
        <f>H16-G16</f>
      </c>
      <c r="J16" s="40">
        <f>IF(G16&gt;0,(H16-G16)/G16,0)</f>
      </c>
      <c r="K16" s="41" t="s">
        <v>43</v>
      </c>
    </row>
    <row r="17" ht="22" customHeight="1" spans="1:11" x14ac:dyDescent="0.25">
      <c r="A17" s="28">
        <v>13</v>
      </c>
      <c r="B17" s="29" t="s">
        <v>44</v>
      </c>
      <c r="C17" s="28" t="s">
        <v>37</v>
      </c>
      <c r="D17" s="42" t="s">
        <v>40</v>
      </c>
      <c r="E17" s="31" t="s">
        <v>100</v>
      </c>
      <c r="F17" s="23" t="s">
        <v>21</v>
      </c>
      <c r="G17" s="32">
        <v>10500</v>
      </c>
      <c r="H17" s="32">
        <v>14000</v>
      </c>
      <c r="I17" s="32">
        <f>H17-G17</f>
      </c>
      <c r="J17" s="33">
        <f>IF(G17&gt;0,(H17-G17)/G17,0)</f>
      </c>
      <c r="K17" s="34" t="s">
        <v>45</v>
      </c>
    </row>
    <row r="18" ht="22" customHeight="1" spans="1:11" x14ac:dyDescent="0.25">
      <c r="A18" s="35">
        <v>14</v>
      </c>
      <c r="B18" s="36" t="s">
        <v>46</v>
      </c>
      <c r="C18" s="35" t="s">
        <v>37</v>
      </c>
      <c r="D18" s="43" t="s">
        <v>47</v>
      </c>
      <c r="E18" s="38" t="s">
        <v>100</v>
      </c>
      <c r="F18" s="23" t="s">
        <v>21</v>
      </c>
      <c r="G18" s="39">
        <v>11500</v>
      </c>
      <c r="H18" s="39">
        <v>14000</v>
      </c>
      <c r="I18" s="39">
        <f>H18-G18</f>
      </c>
      <c r="J18" s="40">
        <f>IF(G18&gt;0,(H18-G18)/G18,0)</f>
      </c>
      <c r="K18" s="41" t="s">
        <v>48</v>
      </c>
    </row>
    <row r="19" ht="22" customHeight="1" spans="1:11" x14ac:dyDescent="0.25">
      <c r="A19" s="28">
        <v>15</v>
      </c>
      <c r="B19" s="29" t="s">
        <v>49</v>
      </c>
      <c r="C19" s="28" t="s">
        <v>37</v>
      </c>
      <c r="D19" s="30" t="s">
        <v>14</v>
      </c>
      <c r="E19" s="31" t="s">
        <v>100</v>
      </c>
      <c r="F19" s="10" t="s">
        <v>15</v>
      </c>
      <c r="G19" s="32">
        <v>5000</v>
      </c>
      <c r="H19" s="32">
        <v>12000</v>
      </c>
      <c r="I19" s="32">
        <f>H19-G19</f>
      </c>
      <c r="J19" s="33">
        <f>IF(G19&gt;0,(H19-G19)/G19,0)</f>
      </c>
      <c r="K19" s="34" t="s">
        <v>50</v>
      </c>
    </row>
    <row r="20" ht="22" customHeight="1" spans="1:11" x14ac:dyDescent="0.25">
      <c r="A20" s="35">
        <v>16</v>
      </c>
      <c r="B20" s="36" t="s">
        <v>51</v>
      </c>
      <c r="C20" s="35" t="s">
        <v>37</v>
      </c>
      <c r="D20" s="43" t="s">
        <v>20</v>
      </c>
      <c r="E20" s="38" t="s">
        <v>100</v>
      </c>
      <c r="F20" s="23" t="s">
        <v>21</v>
      </c>
      <c r="G20" s="39">
        <v>1300</v>
      </c>
      <c r="H20" s="39">
        <v>4000</v>
      </c>
      <c r="I20" s="39">
        <f>H20-G20</f>
      </c>
      <c r="J20" s="40">
        <f>IF(G20&gt;0,(H20-G20)/G20,0)</f>
      </c>
      <c r="K20" s="41" t="s">
        <v>52</v>
      </c>
    </row>
    <row r="21" ht="22" customHeight="1" spans="1:11" x14ac:dyDescent="0.25">
      <c r="A21" s="28">
        <v>17</v>
      </c>
      <c r="B21" s="29" t="s">
        <v>53</v>
      </c>
      <c r="C21" s="28" t="s">
        <v>37</v>
      </c>
      <c r="D21" s="42" t="s">
        <v>20</v>
      </c>
      <c r="E21" s="31" t="s">
        <v>100</v>
      </c>
      <c r="F21" s="23" t="s">
        <v>21</v>
      </c>
      <c r="G21" s="32">
        <v>2500</v>
      </c>
      <c r="H21" s="32">
        <v>5000</v>
      </c>
      <c r="I21" s="32">
        <f>H21-G21</f>
      </c>
      <c r="J21" s="33">
        <f>IF(G21&gt;0,(H21-G21)/G21,0)</f>
      </c>
      <c r="K21" s="34" t="s">
        <v>54</v>
      </c>
    </row>
    <row r="22" ht="22" customHeight="1" spans="1:11" x14ac:dyDescent="0.25">
      <c r="A22" s="35">
        <v>18</v>
      </c>
      <c r="B22" s="36" t="s">
        <v>55</v>
      </c>
      <c r="C22" s="35" t="s">
        <v>37</v>
      </c>
      <c r="D22" s="37" t="s">
        <v>56</v>
      </c>
      <c r="E22" s="38" t="s">
        <v>100</v>
      </c>
      <c r="F22" s="23" t="s">
        <v>21</v>
      </c>
      <c r="G22" s="39">
        <v>2300</v>
      </c>
      <c r="H22" s="39">
        <v>5000</v>
      </c>
      <c r="I22" s="39">
        <f>H22-G22</f>
      </c>
      <c r="J22" s="40">
        <f>IF(G22&gt;0,(H22-G22)/G22,0)</f>
      </c>
      <c r="K22" s="41" t="s">
        <v>57</v>
      </c>
    </row>
    <row r="23" ht="22" customHeight="1" spans="1:11" x14ac:dyDescent="0.25">
      <c r="A23" s="28">
        <v>19</v>
      </c>
      <c r="B23" s="29" t="s">
        <v>58</v>
      </c>
      <c r="C23" s="28" t="s">
        <v>37</v>
      </c>
      <c r="D23" s="42" t="s">
        <v>40</v>
      </c>
      <c r="E23" s="31" t="s">
        <v>100</v>
      </c>
      <c r="F23" s="23" t="s">
        <v>21</v>
      </c>
      <c r="G23" s="32">
        <v>10000</v>
      </c>
      <c r="H23" s="32">
        <v>13000</v>
      </c>
      <c r="I23" s="32">
        <f>H23-G23</f>
      </c>
      <c r="J23" s="33">
        <f>IF(G23&gt;0,(H23-G23)/G23,0)</f>
      </c>
      <c r="K23" s="34" t="s">
        <v>59</v>
      </c>
    </row>
    <row r="24" ht="22" customHeight="1" spans="1:11" x14ac:dyDescent="0.25">
      <c r="A24" s="35">
        <v>20</v>
      </c>
      <c r="B24" s="36" t="s">
        <v>60</v>
      </c>
      <c r="C24" s="35" t="s">
        <v>37</v>
      </c>
      <c r="D24" s="43" t="s">
        <v>40</v>
      </c>
      <c r="E24" s="38" t="s">
        <v>100</v>
      </c>
      <c r="F24" s="10" t="s">
        <v>15</v>
      </c>
      <c r="G24" s="39">
        <v>7000</v>
      </c>
      <c r="H24" s="39">
        <v>10000</v>
      </c>
      <c r="I24" s="39">
        <f>H24-G24</f>
      </c>
      <c r="J24" s="40">
        <f>IF(G24&gt;0,(H24-G24)/G24,0)</f>
      </c>
      <c r="K24" s="41" t="s">
        <v>61</v>
      </c>
    </row>
    <row r="25" ht="22" customHeight="1" spans="1:11" x14ac:dyDescent="0.25">
      <c r="A25" s="28">
        <v>21</v>
      </c>
      <c r="B25" s="29" t="s">
        <v>62</v>
      </c>
      <c r="C25" s="28" t="s">
        <v>37</v>
      </c>
      <c r="D25" s="30" t="s">
        <v>14</v>
      </c>
      <c r="E25" s="31" t="s">
        <v>100</v>
      </c>
      <c r="F25" s="10" t="s">
        <v>15</v>
      </c>
      <c r="G25" s="32">
        <v>70000</v>
      </c>
      <c r="H25" s="32">
        <v>76000</v>
      </c>
      <c r="I25" s="32">
        <f>H25-G25</f>
      </c>
      <c r="J25" s="33">
        <f>IF(G25&gt;0,(H25-G25)/G25,0)</f>
      </c>
      <c r="K25" s="34" t="s">
        <v>63</v>
      </c>
    </row>
    <row r="26" ht="22" customHeight="1" spans="1:11" x14ac:dyDescent="0.25">
      <c r="A26" s="35">
        <v>22</v>
      </c>
      <c r="B26" s="36" t="s">
        <v>64</v>
      </c>
      <c r="C26" s="35" t="s">
        <v>37</v>
      </c>
      <c r="D26" s="37" t="s">
        <v>14</v>
      </c>
      <c r="E26" s="38" t="s">
        <v>100</v>
      </c>
      <c r="F26" s="10" t="s">
        <v>15</v>
      </c>
      <c r="G26" s="39">
        <v>47000</v>
      </c>
      <c r="H26" s="39">
        <v>51000</v>
      </c>
      <c r="I26" s="39">
        <f>H26-G26</f>
      </c>
      <c r="J26" s="40">
        <f>IF(G26&gt;0,(H26-G26)/G26,0)</f>
      </c>
      <c r="K26" s="41" t="s">
        <v>65</v>
      </c>
    </row>
    <row r="27" ht="22" customHeight="1" spans="1:11" x14ac:dyDescent="0.25">
      <c r="A27" s="28">
        <v>23</v>
      </c>
      <c r="B27" s="29" t="s">
        <v>66</v>
      </c>
      <c r="C27" s="28" t="s">
        <v>37</v>
      </c>
      <c r="D27" s="30" t="s">
        <v>14</v>
      </c>
      <c r="E27" s="31" t="s">
        <v>100</v>
      </c>
      <c r="F27" s="10" t="s">
        <v>15</v>
      </c>
      <c r="G27" s="32">
        <v>50000</v>
      </c>
      <c r="H27" s="32">
        <v>54000</v>
      </c>
      <c r="I27" s="32">
        <f>H27-G27</f>
      </c>
      <c r="J27" s="33">
        <f>IF(G27&gt;0,(H27-G27)/G27,0)</f>
      </c>
      <c r="K27" s="34" t="s">
        <v>67</v>
      </c>
    </row>
    <row r="28" ht="22" customHeight="1" spans="1:11" x14ac:dyDescent="0.25">
      <c r="A28" s="35">
        <v>24</v>
      </c>
      <c r="B28" s="36" t="s">
        <v>68</v>
      </c>
      <c r="C28" s="35" t="s">
        <v>37</v>
      </c>
      <c r="D28" s="37" t="s">
        <v>14</v>
      </c>
      <c r="E28" s="38" t="s">
        <v>100</v>
      </c>
      <c r="F28" s="23" t="s">
        <v>21</v>
      </c>
      <c r="G28" s="39">
        <v>4500</v>
      </c>
      <c r="H28" s="39">
        <v>7500</v>
      </c>
      <c r="I28" s="39">
        <f>H28-G28</f>
      </c>
      <c r="J28" s="40">
        <f>IF(G28&gt;0,(H28-G28)/G28,0)</f>
      </c>
      <c r="K28" s="41" t="s">
        <v>69</v>
      </c>
    </row>
    <row r="29" ht="22" customHeight="1" spans="1:11" x14ac:dyDescent="0.25">
      <c r="A29" s="28">
        <v>25</v>
      </c>
      <c r="B29" s="29" t="s">
        <v>70</v>
      </c>
      <c r="C29" s="28" t="s">
        <v>37</v>
      </c>
      <c r="D29" s="30" t="s">
        <v>14</v>
      </c>
      <c r="E29" s="31" t="s">
        <v>100</v>
      </c>
      <c r="F29" s="10" t="s">
        <v>15</v>
      </c>
      <c r="G29" s="32">
        <v>10000</v>
      </c>
      <c r="H29" s="32">
        <v>15000</v>
      </c>
      <c r="I29" s="32">
        <f>H29-G29</f>
      </c>
      <c r="J29" s="33">
        <f>IF(G29&gt;0,(H29-G29)/G29,0)</f>
      </c>
      <c r="K29" s="34" t="s">
        <v>71</v>
      </c>
    </row>
    <row r="30" ht="22" customHeight="1" spans="1:11" x14ac:dyDescent="0.25">
      <c r="A30" s="35">
        <v>26</v>
      </c>
      <c r="B30" s="36" t="s">
        <v>72</v>
      </c>
      <c r="C30" s="35" t="s">
        <v>37</v>
      </c>
      <c r="D30" s="37" t="s">
        <v>14</v>
      </c>
      <c r="E30" s="38" t="s">
        <v>100</v>
      </c>
      <c r="F30" s="23" t="s">
        <v>21</v>
      </c>
      <c r="G30" s="39">
        <v>34000</v>
      </c>
      <c r="H30" s="39">
        <v>37000</v>
      </c>
      <c r="I30" s="39">
        <f>H30-G30</f>
      </c>
      <c r="J30" s="40">
        <f>IF(G30&gt;0,(H30-G30)/G30,0)</f>
      </c>
      <c r="K30" s="41" t="s">
        <v>73</v>
      </c>
    </row>
    <row r="31" ht="22" customHeight="1" spans="1:11" x14ac:dyDescent="0.25">
      <c r="A31" s="28">
        <v>27</v>
      </c>
      <c r="B31" s="29" t="s">
        <v>74</v>
      </c>
      <c r="C31" s="28" t="s">
        <v>37</v>
      </c>
      <c r="D31" s="30" t="s">
        <v>14</v>
      </c>
      <c r="E31" s="31" t="s">
        <v>100</v>
      </c>
      <c r="F31" s="23" t="s">
        <v>21</v>
      </c>
      <c r="G31" s="32">
        <v>6500</v>
      </c>
      <c r="H31" s="32">
        <v>9500</v>
      </c>
      <c r="I31" s="32">
        <f>H31-G31</f>
      </c>
      <c r="J31" s="33">
        <f>IF(G31&gt;0,(H31-G31)/G31,0)</f>
      </c>
      <c r="K31" s="34" t="s">
        <v>75</v>
      </c>
    </row>
    <row r="32" ht="22" customHeight="1" spans="1:11" x14ac:dyDescent="0.25">
      <c r="A32" s="35">
        <v>28</v>
      </c>
      <c r="B32" s="36" t="s">
        <v>76</v>
      </c>
      <c r="C32" s="35" t="s">
        <v>37</v>
      </c>
      <c r="D32" s="43" t="s">
        <v>40</v>
      </c>
      <c r="E32" s="38" t="s">
        <v>100</v>
      </c>
      <c r="F32" s="10" t="s">
        <v>15</v>
      </c>
      <c r="G32" s="39">
        <v>11000</v>
      </c>
      <c r="H32" s="39">
        <v>14000</v>
      </c>
      <c r="I32" s="39">
        <f>H32-G32</f>
      </c>
      <c r="J32" s="40">
        <f>IF(G32&gt;0,(H32-G32)/G32,0)</f>
      </c>
      <c r="K32" s="41" t="s">
        <v>77</v>
      </c>
    </row>
    <row r="33" ht="22" customHeight="1" spans="1:11" x14ac:dyDescent="0.25">
      <c r="A33" s="28">
        <v>29</v>
      </c>
      <c r="B33" s="29" t="s">
        <v>78</v>
      </c>
      <c r="C33" s="28" t="s">
        <v>37</v>
      </c>
      <c r="D33" s="42" t="s">
        <v>40</v>
      </c>
      <c r="E33" s="31" t="s">
        <v>100</v>
      </c>
      <c r="F33" s="10" t="s">
        <v>15</v>
      </c>
      <c r="G33" s="32">
        <v>15000</v>
      </c>
      <c r="H33" s="32">
        <v>18000</v>
      </c>
      <c r="I33" s="32">
        <f>H33-G33</f>
      </c>
      <c r="J33" s="33">
        <f>IF(G33&gt;0,(H33-G33)/G33,0)</f>
      </c>
      <c r="K33" s="34" t="s">
        <v>79</v>
      </c>
    </row>
    <row r="34" ht="22" customHeight="1" spans="1:11" x14ac:dyDescent="0.25">
      <c r="A34" s="35">
        <v>30</v>
      </c>
      <c r="B34" s="36" t="s">
        <v>80</v>
      </c>
      <c r="C34" s="35" t="s">
        <v>37</v>
      </c>
      <c r="D34" s="43" t="s">
        <v>40</v>
      </c>
      <c r="E34" s="38" t="s">
        <v>100</v>
      </c>
      <c r="F34" s="10" t="s">
        <v>15</v>
      </c>
      <c r="G34" s="39">
        <v>16500</v>
      </c>
      <c r="H34" s="39">
        <v>19000</v>
      </c>
      <c r="I34" s="39">
        <f>H34-G34</f>
      </c>
      <c r="J34" s="40">
        <f>IF(G34&gt;0,(H34-G34)/G34,0)</f>
      </c>
      <c r="K34" s="41" t="s">
        <v>81</v>
      </c>
    </row>
    <row r="35" ht="22" customHeight="1" spans="1:11" x14ac:dyDescent="0.25">
      <c r="A35" s="28">
        <v>31</v>
      </c>
      <c r="B35" s="29" t="s">
        <v>80</v>
      </c>
      <c r="C35" s="28" t="s">
        <v>37</v>
      </c>
      <c r="D35" s="42" t="s">
        <v>40</v>
      </c>
      <c r="E35" s="31" t="s">
        <v>100</v>
      </c>
      <c r="F35" s="10" t="s">
        <v>15</v>
      </c>
      <c r="G35" s="32">
        <v>16000</v>
      </c>
      <c r="H35" s="32">
        <v>19000</v>
      </c>
      <c r="I35" s="32">
        <f>H35-G35</f>
      </c>
      <c r="J35" s="33">
        <f>IF(G35&gt;0,(H35-G35)/G35,0)</f>
      </c>
      <c r="K35" s="34" t="s">
        <v>82</v>
      </c>
    </row>
    <row r="36" ht="22" customHeight="1" spans="1:11" x14ac:dyDescent="0.25">
      <c r="A36" s="35">
        <v>32</v>
      </c>
      <c r="B36" s="36" t="s">
        <v>83</v>
      </c>
      <c r="C36" s="35" t="s">
        <v>37</v>
      </c>
      <c r="D36" s="43" t="s">
        <v>40</v>
      </c>
      <c r="E36" s="38" t="s">
        <v>100</v>
      </c>
      <c r="F36" s="10" t="s">
        <v>15</v>
      </c>
      <c r="G36" s="39">
        <v>13000</v>
      </c>
      <c r="H36" s="39">
        <v>16000</v>
      </c>
      <c r="I36" s="39">
        <f>H36-G36</f>
      </c>
      <c r="J36" s="40">
        <f>IF(G36&gt;0,(H36-G36)/G36,0)</f>
      </c>
      <c r="K36" s="41" t="s">
        <v>84</v>
      </c>
    </row>
    <row r="37" ht="22" customHeight="1" spans="1:11" x14ac:dyDescent="0.25">
      <c r="A37" s="28">
        <v>33</v>
      </c>
      <c r="B37" s="29" t="s">
        <v>85</v>
      </c>
      <c r="C37" s="28" t="s">
        <v>37</v>
      </c>
      <c r="D37" s="30" t="s">
        <v>14</v>
      </c>
      <c r="E37" s="31" t="s">
        <v>100</v>
      </c>
      <c r="F37" s="23" t="s">
        <v>21</v>
      </c>
      <c r="G37" s="32">
        <v>27000</v>
      </c>
      <c r="H37" s="32">
        <v>30000</v>
      </c>
      <c r="I37" s="32">
        <f>H37-G37</f>
      </c>
      <c r="J37" s="33">
        <f>IF(G37&gt;0,(H37-G37)/G37,0)</f>
      </c>
      <c r="K37" s="34" t="s">
        <v>86</v>
      </c>
    </row>
    <row r="38" ht="22" customHeight="1" spans="1:11" x14ac:dyDescent="0.25">
      <c r="A38" s="35">
        <v>34</v>
      </c>
      <c r="B38" s="36" t="s">
        <v>87</v>
      </c>
      <c r="C38" s="35" t="s">
        <v>37</v>
      </c>
      <c r="D38" s="43" t="s">
        <v>40</v>
      </c>
      <c r="E38" s="38" t="s">
        <v>100</v>
      </c>
      <c r="F38" s="23" t="s">
        <v>21</v>
      </c>
      <c r="G38" s="39">
        <v>15000</v>
      </c>
      <c r="H38" s="39">
        <v>19500</v>
      </c>
      <c r="I38" s="39">
        <f>H38-G38</f>
      </c>
      <c r="J38" s="40">
        <f>IF(G38&gt;0,(H38-G38)/G38,0)</f>
      </c>
      <c r="K38" s="41" t="s">
        <v>88</v>
      </c>
    </row>
    <row r="39" ht="22" customHeight="1" spans="1:11" x14ac:dyDescent="0.25">
      <c r="A39" s="28">
        <v>35</v>
      </c>
      <c r="B39" s="29" t="s">
        <v>89</v>
      </c>
      <c r="C39" s="28" t="s">
        <v>37</v>
      </c>
      <c r="D39" s="30" t="s">
        <v>14</v>
      </c>
      <c r="E39" s="31" t="s">
        <v>100</v>
      </c>
      <c r="F39" s="23" t="s">
        <v>21</v>
      </c>
      <c r="G39" s="32">
        <v>6500</v>
      </c>
      <c r="H39" s="32">
        <v>12000</v>
      </c>
      <c r="I39" s="32">
        <f>H39-G39</f>
      </c>
      <c r="J39" s="33">
        <f>IF(G39&gt;0,(H39-G39)/G39,0)</f>
      </c>
      <c r="K39" s="34" t="s">
        <v>90</v>
      </c>
    </row>
    <row r="40" ht="22" customHeight="1" spans="1:11" x14ac:dyDescent="0.25">
      <c r="A40" s="35">
        <v>36</v>
      </c>
      <c r="B40" s="36" t="s">
        <v>91</v>
      </c>
      <c r="C40" s="35" t="s">
        <v>37</v>
      </c>
      <c r="D40" s="37" t="s">
        <v>14</v>
      </c>
      <c r="E40" s="38" t="s">
        <v>100</v>
      </c>
      <c r="F40" s="23" t="s">
        <v>21</v>
      </c>
      <c r="G40" s="39">
        <v>30000</v>
      </c>
      <c r="H40" s="39">
        <v>33000</v>
      </c>
      <c r="I40" s="39">
        <f>H40-G40</f>
      </c>
      <c r="J40" s="40">
        <f>IF(G40&gt;0,(H40-G40)/G40,0)</f>
      </c>
      <c r="K40" s="41" t="s">
        <v>92</v>
      </c>
    </row>
    <row r="41" ht="22" customHeight="1" spans="1:11" x14ac:dyDescent="0.25">
      <c r="A41" s="28">
        <v>37</v>
      </c>
      <c r="B41" s="29" t="s">
        <v>93</v>
      </c>
      <c r="C41" s="28" t="s">
        <v>37</v>
      </c>
      <c r="D41" s="42" t="s">
        <v>40</v>
      </c>
      <c r="E41" s="31" t="s">
        <v>100</v>
      </c>
      <c r="F41" s="23" t="s">
        <v>21</v>
      </c>
      <c r="G41" s="32">
        <v>8500</v>
      </c>
      <c r="H41" s="32">
        <v>12000</v>
      </c>
      <c r="I41" s="32">
        <f>H41-G41</f>
      </c>
      <c r="J41" s="33">
        <f>IF(G41&gt;0,(H41-G41)/G41,0)</f>
      </c>
      <c r="K41" s="34" t="s">
        <v>94</v>
      </c>
    </row>
    <row r="42" ht="22" customHeight="1" spans="1:11" x14ac:dyDescent="0.25">
      <c r="A42" s="35">
        <v>38</v>
      </c>
      <c r="B42" s="36" t="s">
        <v>101</v>
      </c>
      <c r="C42" s="35" t="s">
        <v>13</v>
      </c>
      <c r="D42" s="43" t="s">
        <v>20</v>
      </c>
      <c r="E42" s="44" t="s">
        <v>102</v>
      </c>
      <c r="F42" s="10" t="s">
        <v>15</v>
      </c>
      <c r="G42" s="39">
        <v>16000</v>
      </c>
      <c r="H42" s="39">
        <v>19000</v>
      </c>
      <c r="I42" s="39">
        <f>H42-G42</f>
      </c>
      <c r="J42" s="40">
        <f>IF(G42&gt;0,(H42-G42)/G42,0)</f>
      </c>
      <c r="K42" s="41" t="s">
        <v>103</v>
      </c>
    </row>
    <row r="43" ht="22" customHeight="1" spans="1:11" x14ac:dyDescent="0.25">
      <c r="A43" s="28">
        <v>39</v>
      </c>
      <c r="B43" s="29" t="s">
        <v>104</v>
      </c>
      <c r="C43" s="28" t="s">
        <v>13</v>
      </c>
      <c r="D43" s="30" t="s">
        <v>28</v>
      </c>
      <c r="E43" s="45" t="s">
        <v>102</v>
      </c>
      <c r="F43" s="10" t="s">
        <v>15</v>
      </c>
      <c r="G43" s="32">
        <v>45000</v>
      </c>
      <c r="H43" s="32">
        <v>49000</v>
      </c>
      <c r="I43" s="32">
        <f>H43-G43</f>
      </c>
      <c r="J43" s="33">
        <f>IF(G43&gt;0,(H43-G43)/G43,0)</f>
      </c>
      <c r="K43" s="34" t="s">
        <v>105</v>
      </c>
    </row>
    <row r="44" ht="22" customHeight="1" spans="1:11" x14ac:dyDescent="0.25">
      <c r="A44" s="35">
        <v>40</v>
      </c>
      <c r="B44" s="36" t="s">
        <v>106</v>
      </c>
      <c r="C44" s="35" t="s">
        <v>13</v>
      </c>
      <c r="D44" s="43" t="s">
        <v>20</v>
      </c>
      <c r="E44" s="44" t="s">
        <v>102</v>
      </c>
      <c r="F44" s="10" t="s">
        <v>15</v>
      </c>
      <c r="G44" s="39">
        <v>21000</v>
      </c>
      <c r="H44" s="39">
        <v>24000</v>
      </c>
      <c r="I44" s="39">
        <f>H44-G44</f>
      </c>
      <c r="J44" s="40">
        <f>IF(G44&gt;0,(H44-G44)/G44,0)</f>
      </c>
      <c r="K44" s="41" t="s">
        <v>107</v>
      </c>
    </row>
    <row r="45" ht="22" customHeight="1" spans="1:11" x14ac:dyDescent="0.25">
      <c r="A45" s="28">
        <v>41</v>
      </c>
      <c r="B45" s="29" t="s">
        <v>108</v>
      </c>
      <c r="C45" s="28" t="s">
        <v>13</v>
      </c>
      <c r="D45" s="30" t="s">
        <v>28</v>
      </c>
      <c r="E45" s="45" t="s">
        <v>102</v>
      </c>
      <c r="F45" s="10" t="s">
        <v>15</v>
      </c>
      <c r="G45" s="32">
        <v>60000</v>
      </c>
      <c r="H45" s="32">
        <v>65000</v>
      </c>
      <c r="I45" s="32">
        <f>H45-G45</f>
      </c>
      <c r="J45" s="33">
        <f>IF(G45&gt;0,(H45-G45)/G45,0)</f>
      </c>
      <c r="K45" s="34" t="s">
        <v>109</v>
      </c>
    </row>
    <row r="46" ht="22" customHeight="1" spans="1:11" x14ac:dyDescent="0.25">
      <c r="A46" s="35">
        <v>42</v>
      </c>
      <c r="B46" s="36" t="s">
        <v>110</v>
      </c>
      <c r="C46" s="35" t="s">
        <v>13</v>
      </c>
      <c r="D46" s="37" t="s">
        <v>14</v>
      </c>
      <c r="E46" s="44" t="s">
        <v>102</v>
      </c>
      <c r="F46" s="10" t="s">
        <v>15</v>
      </c>
      <c r="G46" s="39">
        <v>15755</v>
      </c>
      <c r="H46" s="39">
        <v>19000</v>
      </c>
      <c r="I46" s="39">
        <f>H46-G46</f>
      </c>
      <c r="J46" s="40">
        <f>IF(G46&gt;0,(H46-G46)/G46,0)</f>
      </c>
      <c r="K46" s="41" t="s">
        <v>111</v>
      </c>
    </row>
    <row r="47" ht="22" customHeight="1" spans="1:11" x14ac:dyDescent="0.25">
      <c r="A47" s="28">
        <v>43</v>
      </c>
      <c r="B47" s="29" t="s">
        <v>112</v>
      </c>
      <c r="C47" s="28" t="s">
        <v>37</v>
      </c>
      <c r="D47" s="30" t="s">
        <v>14</v>
      </c>
      <c r="E47" s="45" t="s">
        <v>102</v>
      </c>
      <c r="F47" s="10" t="s">
        <v>15</v>
      </c>
      <c r="G47" s="32">
        <v>84528</v>
      </c>
      <c r="H47" s="32">
        <v>92000</v>
      </c>
      <c r="I47" s="32">
        <f>H47-G47</f>
      </c>
      <c r="J47" s="33">
        <f>IF(G47&gt;0,(H47-G47)/G47,0)</f>
      </c>
      <c r="K47" s="34" t="s">
        <v>113</v>
      </c>
    </row>
    <row r="48" ht="22" customHeight="1" spans="1:11" x14ac:dyDescent="0.25">
      <c r="A48" s="35">
        <v>44</v>
      </c>
      <c r="B48" s="36" t="s">
        <v>114</v>
      </c>
      <c r="C48" s="35" t="s">
        <v>37</v>
      </c>
      <c r="D48" s="37" t="s">
        <v>14</v>
      </c>
      <c r="E48" s="44" t="s">
        <v>102</v>
      </c>
      <c r="F48" s="10" t="s">
        <v>15</v>
      </c>
      <c r="G48" s="39">
        <v>84528</v>
      </c>
      <c r="H48" s="39">
        <v>92000</v>
      </c>
      <c r="I48" s="39">
        <f>H48-G48</f>
      </c>
      <c r="J48" s="40">
        <f>IF(G48&gt;0,(H48-G48)/G48,0)</f>
      </c>
      <c r="K48" s="41" t="s">
        <v>115</v>
      </c>
    </row>
    <row r="49" ht="22" customHeight="1" spans="1:11" x14ac:dyDescent="0.25">
      <c r="A49" s="28">
        <v>45</v>
      </c>
      <c r="B49" s="29" t="s">
        <v>116</v>
      </c>
      <c r="C49" s="28" t="s">
        <v>37</v>
      </c>
      <c r="D49" s="30" t="s">
        <v>14</v>
      </c>
      <c r="E49" s="45" t="s">
        <v>102</v>
      </c>
      <c r="F49" s="10" t="s">
        <v>15</v>
      </c>
      <c r="G49" s="32">
        <v>147763</v>
      </c>
      <c r="H49" s="32">
        <v>160000</v>
      </c>
      <c r="I49" s="32">
        <f>H49-G49</f>
      </c>
      <c r="J49" s="33">
        <f>IF(G49&gt;0,(H49-G49)/G49,0)</f>
      </c>
      <c r="K49" s="34" t="s">
        <v>117</v>
      </c>
    </row>
    <row r="50" ht="22" customHeight="1" spans="1:11" x14ac:dyDescent="0.25">
      <c r="A50" s="35">
        <v>46</v>
      </c>
      <c r="B50" s="36" t="s">
        <v>118</v>
      </c>
      <c r="C50" s="35" t="s">
        <v>37</v>
      </c>
      <c r="D50" s="37" t="s">
        <v>14</v>
      </c>
      <c r="E50" s="44" t="s">
        <v>102</v>
      </c>
      <c r="F50" s="10" t="s">
        <v>15</v>
      </c>
      <c r="G50" s="39">
        <v>91686</v>
      </c>
      <c r="H50" s="39">
        <v>100000</v>
      </c>
      <c r="I50" s="39">
        <f>H50-G50</f>
      </c>
      <c r="J50" s="40">
        <f>IF(G50&gt;0,(H50-G50)/G50,0)</f>
      </c>
      <c r="K50" s="41" t="s">
        <v>119</v>
      </c>
    </row>
    <row r="51" ht="22" customHeight="1" spans="1:11" x14ac:dyDescent="0.25">
      <c r="A51" s="28">
        <v>47</v>
      </c>
      <c r="B51" s="29" t="s">
        <v>120</v>
      </c>
      <c r="C51" s="28" t="s">
        <v>37</v>
      </c>
      <c r="D51" s="30" t="s">
        <v>14</v>
      </c>
      <c r="E51" s="45" t="s">
        <v>102</v>
      </c>
      <c r="F51" s="10" t="s">
        <v>15</v>
      </c>
      <c r="G51" s="32">
        <v>85634</v>
      </c>
      <c r="H51" s="32">
        <v>93000</v>
      </c>
      <c r="I51" s="32">
        <f>H51-G51</f>
      </c>
      <c r="J51" s="33">
        <f>IF(G51&gt;0,(H51-G51)/G51,0)</f>
      </c>
      <c r="K51" s="34" t="s">
        <v>121</v>
      </c>
    </row>
    <row r="52" ht="22" customHeight="1" spans="1:11" x14ac:dyDescent="0.25">
      <c r="A52" s="35">
        <v>48</v>
      </c>
      <c r="B52" s="36" t="s">
        <v>120</v>
      </c>
      <c r="C52" s="35" t="s">
        <v>37</v>
      </c>
      <c r="D52" s="37" t="s">
        <v>14</v>
      </c>
      <c r="E52" s="44" t="s">
        <v>102</v>
      </c>
      <c r="F52" s="10" t="s">
        <v>15</v>
      </c>
      <c r="G52" s="39">
        <v>91046</v>
      </c>
      <c r="H52" s="39">
        <v>99000</v>
      </c>
      <c r="I52" s="39">
        <f>H52-G52</f>
      </c>
      <c r="J52" s="40">
        <f>IF(G52&gt;0,(H52-G52)/G52,0)</f>
      </c>
      <c r="K52" s="41" t="s">
        <v>122</v>
      </c>
    </row>
    <row r="53" ht="22" customHeight="1" spans="1:11" x14ac:dyDescent="0.25">
      <c r="A53" s="28">
        <v>49</v>
      </c>
      <c r="B53" s="29" t="s">
        <v>123</v>
      </c>
      <c r="C53" s="28" t="s">
        <v>37</v>
      </c>
      <c r="D53" s="30" t="s">
        <v>14</v>
      </c>
      <c r="E53" s="45" t="s">
        <v>102</v>
      </c>
      <c r="F53" s="10" t="s">
        <v>15</v>
      </c>
      <c r="G53" s="32">
        <v>143161</v>
      </c>
      <c r="H53" s="32">
        <v>155000</v>
      </c>
      <c r="I53" s="32">
        <f>H53-G53</f>
      </c>
      <c r="J53" s="33">
        <f>IF(G53&gt;0,(H53-G53)/G53,0)</f>
      </c>
      <c r="K53" s="34" t="s">
        <v>124</v>
      </c>
    </row>
    <row r="54" ht="22" customHeight="1" spans="1:11" x14ac:dyDescent="0.25">
      <c r="A54" s="35">
        <v>50</v>
      </c>
      <c r="B54" s="36" t="s">
        <v>125</v>
      </c>
      <c r="C54" s="35" t="s">
        <v>37</v>
      </c>
      <c r="D54" s="37" t="s">
        <v>14</v>
      </c>
      <c r="E54" s="44" t="s">
        <v>102</v>
      </c>
      <c r="F54" s="10" t="s">
        <v>15</v>
      </c>
      <c r="G54" s="39">
        <v>105000</v>
      </c>
      <c r="H54" s="39">
        <v>114000</v>
      </c>
      <c r="I54" s="39">
        <f>H54-G54</f>
      </c>
      <c r="J54" s="40">
        <f>IF(G54&gt;0,(H54-G54)/G54,0)</f>
      </c>
      <c r="K54" s="41" t="s">
        <v>126</v>
      </c>
    </row>
    <row r="55" ht="22" customHeight="1" spans="1:11" x14ac:dyDescent="0.25">
      <c r="A55" s="28">
        <v>51</v>
      </c>
      <c r="B55" s="29" t="s">
        <v>127</v>
      </c>
      <c r="C55" s="28" t="s">
        <v>37</v>
      </c>
      <c r="D55" s="30" t="s">
        <v>14</v>
      </c>
      <c r="E55" s="45" t="s">
        <v>102</v>
      </c>
      <c r="F55" s="10" t="s">
        <v>15</v>
      </c>
      <c r="G55" s="32">
        <v>95000</v>
      </c>
      <c r="H55" s="32">
        <v>103000</v>
      </c>
      <c r="I55" s="32">
        <f>H55-G55</f>
      </c>
      <c r="J55" s="33">
        <f>IF(G55&gt;0,(H55-G55)/G55,0)</f>
      </c>
      <c r="K55" s="34" t="s">
        <v>128</v>
      </c>
    </row>
    <row r="56" ht="22" customHeight="1" spans="1:11" x14ac:dyDescent="0.25">
      <c r="A56" s="35">
        <v>52</v>
      </c>
      <c r="B56" s="36" t="s">
        <v>129</v>
      </c>
      <c r="C56" s="35" t="s">
        <v>37</v>
      </c>
      <c r="D56" s="37" t="s">
        <v>14</v>
      </c>
      <c r="E56" s="44" t="s">
        <v>102</v>
      </c>
      <c r="F56" s="10" t="s">
        <v>15</v>
      </c>
      <c r="G56" s="39">
        <v>35000</v>
      </c>
      <c r="H56" s="39">
        <v>38000</v>
      </c>
      <c r="I56" s="39">
        <f>H56-G56</f>
      </c>
      <c r="J56" s="40">
        <f>IF(G56&gt;0,(H56-G56)/G56,0)</f>
      </c>
      <c r="K56" s="41" t="s">
        <v>130</v>
      </c>
    </row>
    <row r="57" ht="22" customHeight="1" spans="1:11" x14ac:dyDescent="0.25">
      <c r="A57" s="28">
        <v>53</v>
      </c>
      <c r="B57" s="29" t="s">
        <v>131</v>
      </c>
      <c r="C57" s="28" t="s">
        <v>37</v>
      </c>
      <c r="D57" s="30" t="s">
        <v>14</v>
      </c>
      <c r="E57" s="45" t="s">
        <v>102</v>
      </c>
      <c r="F57" s="10" t="s">
        <v>15</v>
      </c>
      <c r="G57" s="32">
        <v>50000</v>
      </c>
      <c r="H57" s="32">
        <v>54000</v>
      </c>
      <c r="I57" s="32">
        <f>H57-G57</f>
      </c>
      <c r="J57" s="33">
        <f>IF(G57&gt;0,(H57-G57)/G57,0)</f>
      </c>
      <c r="K57" s="34" t="s">
        <v>132</v>
      </c>
    </row>
    <row r="58" ht="22" customHeight="1" spans="1:11" x14ac:dyDescent="0.25">
      <c r="A58" s="35">
        <v>54</v>
      </c>
      <c r="B58" s="36" t="s">
        <v>133</v>
      </c>
      <c r="C58" s="35" t="s">
        <v>37</v>
      </c>
      <c r="D58" s="37" t="s">
        <v>14</v>
      </c>
      <c r="E58" s="44" t="s">
        <v>102</v>
      </c>
      <c r="F58" s="10" t="s">
        <v>15</v>
      </c>
      <c r="G58" s="39">
        <v>20000</v>
      </c>
      <c r="H58" s="39">
        <v>23000</v>
      </c>
      <c r="I58" s="39">
        <f>H58-G58</f>
      </c>
      <c r="J58" s="40">
        <f>IF(G58&gt;0,(H58-G58)/G58,0)</f>
      </c>
      <c r="K58" s="41" t="s">
        <v>134</v>
      </c>
    </row>
    <row r="59" ht="22" customHeight="1" spans="1:11" x14ac:dyDescent="0.25">
      <c r="A59" s="28">
        <v>55</v>
      </c>
      <c r="B59" s="29" t="s">
        <v>135</v>
      </c>
      <c r="C59" s="28" t="s">
        <v>37</v>
      </c>
      <c r="D59" s="30" t="s">
        <v>14</v>
      </c>
      <c r="E59" s="45" t="s">
        <v>102</v>
      </c>
      <c r="F59" s="10" t="s">
        <v>15</v>
      </c>
      <c r="G59" s="32">
        <v>35000</v>
      </c>
      <c r="H59" s="32">
        <v>38000</v>
      </c>
      <c r="I59" s="32">
        <f>H59-G59</f>
      </c>
      <c r="J59" s="33">
        <f>IF(G59&gt;0,(H59-G59)/G59,0)</f>
      </c>
      <c r="K59" s="34" t="s">
        <v>136</v>
      </c>
    </row>
    <row r="60" ht="22" customHeight="1" spans="1:11" x14ac:dyDescent="0.25">
      <c r="A60" s="35">
        <v>56</v>
      </c>
      <c r="B60" s="36" t="s">
        <v>137</v>
      </c>
      <c r="C60" s="35" t="s">
        <v>37</v>
      </c>
      <c r="D60" s="37" t="s">
        <v>14</v>
      </c>
      <c r="E60" s="44" t="s">
        <v>102</v>
      </c>
      <c r="F60" s="10" t="s">
        <v>15</v>
      </c>
      <c r="G60" s="39">
        <v>40000</v>
      </c>
      <c r="H60" s="39">
        <v>44000</v>
      </c>
      <c r="I60" s="39">
        <f>H60-G60</f>
      </c>
      <c r="J60" s="40">
        <f>IF(G60&gt;0,(H60-G60)/G60,0)</f>
      </c>
      <c r="K60" s="41" t="s">
        <v>138</v>
      </c>
    </row>
    <row r="61" ht="22" customHeight="1" spans="1:11" x14ac:dyDescent="0.25">
      <c r="A61" s="28">
        <v>57</v>
      </c>
      <c r="B61" s="29" t="s">
        <v>139</v>
      </c>
      <c r="C61" s="28" t="s">
        <v>37</v>
      </c>
      <c r="D61" s="30" t="s">
        <v>14</v>
      </c>
      <c r="E61" s="45" t="s">
        <v>102</v>
      </c>
      <c r="F61" s="10" t="s">
        <v>15</v>
      </c>
      <c r="G61" s="32">
        <v>1200</v>
      </c>
      <c r="H61" s="32">
        <v>4000</v>
      </c>
      <c r="I61" s="32">
        <f>H61-G61</f>
      </c>
      <c r="J61" s="33">
        <f>IF(G61&gt;0,(H61-G61)/G61,0)</f>
      </c>
      <c r="K61" s="34" t="s">
        <v>140</v>
      </c>
    </row>
    <row r="62" ht="22" customHeight="1" spans="1:11" x14ac:dyDescent="0.25">
      <c r="A62" s="35">
        <v>58</v>
      </c>
      <c r="B62" s="36" t="s">
        <v>141</v>
      </c>
      <c r="C62" s="35" t="s">
        <v>37</v>
      </c>
      <c r="D62" s="37" t="s">
        <v>14</v>
      </c>
      <c r="E62" s="44" t="s">
        <v>102</v>
      </c>
      <c r="F62" s="10" t="s">
        <v>15</v>
      </c>
      <c r="G62" s="39">
        <v>12500</v>
      </c>
      <c r="H62" s="39">
        <v>15000</v>
      </c>
      <c r="I62" s="39">
        <f>H62-G62</f>
      </c>
      <c r="J62" s="40">
        <f>IF(G62&gt;0,(H62-G62)/G62,0)</f>
      </c>
      <c r="K62" s="41" t="s">
        <v>142</v>
      </c>
    </row>
    <row r="63" ht="22" customHeight="1" spans="1:11" x14ac:dyDescent="0.25">
      <c r="A63" s="28">
        <v>59</v>
      </c>
      <c r="B63" s="29" t="s">
        <v>143</v>
      </c>
      <c r="C63" s="28" t="s">
        <v>37</v>
      </c>
      <c r="D63" s="30" t="s">
        <v>14</v>
      </c>
      <c r="E63" s="45" t="s">
        <v>102</v>
      </c>
      <c r="F63" s="10" t="s">
        <v>15</v>
      </c>
      <c r="G63" s="32">
        <v>15500</v>
      </c>
      <c r="H63" s="32">
        <v>18000</v>
      </c>
      <c r="I63" s="32">
        <f>H63-G63</f>
      </c>
      <c r="J63" s="33">
        <f>IF(G63&gt;0,(H63-G63)/G63,0)</f>
      </c>
      <c r="K63" s="34" t="s">
        <v>144</v>
      </c>
    </row>
    <row r="64" ht="22" customHeight="1" spans="1:11" x14ac:dyDescent="0.25">
      <c r="A64" s="35">
        <v>60</v>
      </c>
      <c r="B64" s="36" t="s">
        <v>145</v>
      </c>
      <c r="C64" s="35" t="s">
        <v>37</v>
      </c>
      <c r="D64" s="43" t="s">
        <v>20</v>
      </c>
      <c r="E64" s="44" t="s">
        <v>102</v>
      </c>
      <c r="F64" s="10" t="s">
        <v>15</v>
      </c>
      <c r="G64" s="39">
        <v>15000</v>
      </c>
      <c r="H64" s="39">
        <v>18000</v>
      </c>
      <c r="I64" s="39">
        <f>H64-G64</f>
      </c>
      <c r="J64" s="40">
        <f>IF(G64&gt;0,(H64-G64)/G64,0)</f>
      </c>
      <c r="K64" s="41" t="s">
        <v>146</v>
      </c>
    </row>
    <row r="65" ht="22" customHeight="1" spans="1:11" x14ac:dyDescent="0.25">
      <c r="A65" s="28">
        <v>61</v>
      </c>
      <c r="B65" s="29" t="s">
        <v>147</v>
      </c>
      <c r="C65" s="28" t="s">
        <v>37</v>
      </c>
      <c r="D65" s="42" t="s">
        <v>20</v>
      </c>
      <c r="E65" s="45" t="s">
        <v>102</v>
      </c>
      <c r="F65" s="10" t="s">
        <v>15</v>
      </c>
      <c r="G65" s="32">
        <v>12500</v>
      </c>
      <c r="H65" s="32">
        <v>15000</v>
      </c>
      <c r="I65" s="32">
        <f>H65-G65</f>
      </c>
      <c r="J65" s="33">
        <f>IF(G65&gt;0,(H65-G65)/G65,0)</f>
      </c>
      <c r="K65" s="34" t="s">
        <v>148</v>
      </c>
    </row>
    <row r="66" ht="22" customHeight="1" spans="1:11" x14ac:dyDescent="0.25">
      <c r="A66" s="35">
        <v>62</v>
      </c>
      <c r="B66" s="36" t="s">
        <v>149</v>
      </c>
      <c r="C66" s="35" t="s">
        <v>37</v>
      </c>
      <c r="D66" s="37" t="s">
        <v>56</v>
      </c>
      <c r="E66" s="44" t="s">
        <v>102</v>
      </c>
      <c r="F66" s="10" t="s">
        <v>15</v>
      </c>
      <c r="G66" s="39">
        <v>18000</v>
      </c>
      <c r="H66" s="39">
        <v>21000</v>
      </c>
      <c r="I66" s="39">
        <f>H66-G66</f>
      </c>
      <c r="J66" s="40">
        <f>IF(G66&gt;0,(H66-G66)/G66,0)</f>
      </c>
      <c r="K66" s="41" t="s">
        <v>150</v>
      </c>
    </row>
    <row r="67" ht="22" customHeight="1" spans="1:11" x14ac:dyDescent="0.25">
      <c r="A67" s="28">
        <v>63</v>
      </c>
      <c r="B67" s="29" t="s">
        <v>151</v>
      </c>
      <c r="C67" s="28" t="s">
        <v>37</v>
      </c>
      <c r="D67" s="30" t="s">
        <v>56</v>
      </c>
      <c r="E67" s="45" t="s">
        <v>102</v>
      </c>
      <c r="F67" s="10" t="s">
        <v>15</v>
      </c>
      <c r="G67" s="32">
        <v>15500</v>
      </c>
      <c r="H67" s="32">
        <v>18000</v>
      </c>
      <c r="I67" s="32">
        <f>H67-G67</f>
      </c>
      <c r="J67" s="33">
        <f>IF(G67&gt;0,(H67-G67)/G67,0)</f>
      </c>
      <c r="K67" s="34" t="s">
        <v>152</v>
      </c>
    </row>
    <row r="68" ht="22" customHeight="1" spans="1:11" x14ac:dyDescent="0.25">
      <c r="A68" s="35">
        <v>64</v>
      </c>
      <c r="B68" s="36" t="s">
        <v>153</v>
      </c>
      <c r="C68" s="35" t="s">
        <v>37</v>
      </c>
      <c r="D68" s="37" t="s">
        <v>56</v>
      </c>
      <c r="E68" s="44" t="s">
        <v>102</v>
      </c>
      <c r="F68" s="10" t="s">
        <v>15</v>
      </c>
      <c r="G68" s="39">
        <v>18500</v>
      </c>
      <c r="H68" s="39">
        <v>21000</v>
      </c>
      <c r="I68" s="39">
        <f>H68-G68</f>
      </c>
      <c r="J68" s="40">
        <f>IF(G68&gt;0,(H68-G68)/G68,0)</f>
      </c>
      <c r="K68" s="41" t="s">
        <v>154</v>
      </c>
    </row>
    <row r="69" ht="22" customHeight="1" spans="1:11" x14ac:dyDescent="0.25">
      <c r="A69" s="28">
        <v>65</v>
      </c>
      <c r="B69" s="29" t="s">
        <v>155</v>
      </c>
      <c r="C69" s="28" t="s">
        <v>37</v>
      </c>
      <c r="D69" s="42" t="s">
        <v>40</v>
      </c>
      <c r="E69" s="45" t="s">
        <v>102</v>
      </c>
      <c r="F69" s="10" t="s">
        <v>15</v>
      </c>
      <c r="G69" s="32">
        <v>20000</v>
      </c>
      <c r="H69" s="32">
        <v>23000</v>
      </c>
      <c r="I69" s="32">
        <f>H69-G69</f>
      </c>
      <c r="J69" s="33">
        <f>IF(G69&gt;0,(H69-G69)/G69,0)</f>
      </c>
      <c r="K69" s="34" t="s">
        <v>156</v>
      </c>
    </row>
    <row r="70" ht="22" customHeight="1" spans="1:11" x14ac:dyDescent="0.25">
      <c r="A70" s="35">
        <v>66</v>
      </c>
      <c r="B70" s="36" t="s">
        <v>157</v>
      </c>
      <c r="C70" s="35" t="s">
        <v>37</v>
      </c>
      <c r="D70" s="43" t="s">
        <v>40</v>
      </c>
      <c r="E70" s="44" t="s">
        <v>102</v>
      </c>
      <c r="F70" s="10" t="s">
        <v>15</v>
      </c>
      <c r="G70" s="39">
        <v>27000</v>
      </c>
      <c r="H70" s="39">
        <v>30000</v>
      </c>
      <c r="I70" s="39">
        <f>H70-G70</f>
      </c>
      <c r="J70" s="40">
        <f>IF(G70&gt;0,(H70-G70)/G70,0)</f>
      </c>
      <c r="K70" s="41" t="s">
        <v>158</v>
      </c>
    </row>
    <row r="71" ht="22" customHeight="1" spans="1:11" x14ac:dyDescent="0.25">
      <c r="A71" s="28">
        <v>67</v>
      </c>
      <c r="B71" s="29" t="s">
        <v>159</v>
      </c>
      <c r="C71" s="28" t="s">
        <v>37</v>
      </c>
      <c r="D71" s="42" t="s">
        <v>40</v>
      </c>
      <c r="E71" s="45" t="s">
        <v>102</v>
      </c>
      <c r="F71" s="10" t="s">
        <v>15</v>
      </c>
      <c r="G71" s="32">
        <v>45000</v>
      </c>
      <c r="H71" s="32">
        <v>49000</v>
      </c>
      <c r="I71" s="32">
        <f>H71-G71</f>
      </c>
      <c r="J71" s="33">
        <f>IF(G71&gt;0,(H71-G71)/G71,0)</f>
      </c>
      <c r="K71" s="34" t="s">
        <v>160</v>
      </c>
    </row>
    <row r="72" ht="22" customHeight="1" spans="1:11" x14ac:dyDescent="0.25">
      <c r="A72" s="35">
        <v>68</v>
      </c>
      <c r="B72" s="36" t="s">
        <v>161</v>
      </c>
      <c r="C72" s="35" t="s">
        <v>37</v>
      </c>
      <c r="D72" s="37" t="s">
        <v>14</v>
      </c>
      <c r="E72" s="44" t="s">
        <v>102</v>
      </c>
      <c r="F72" s="10" t="s">
        <v>15</v>
      </c>
      <c r="G72" s="39">
        <v>23000</v>
      </c>
      <c r="H72" s="39">
        <v>26000</v>
      </c>
      <c r="I72" s="39">
        <f>H72-G72</f>
      </c>
      <c r="J72" s="40">
        <f>IF(G72&gt;0,(H72-G72)/G72,0)</f>
      </c>
      <c r="K72" s="41" t="s">
        <v>162</v>
      </c>
    </row>
    <row r="73" ht="22" customHeight="1" spans="1:11" x14ac:dyDescent="0.25">
      <c r="A73" s="28">
        <v>69</v>
      </c>
      <c r="B73" s="29" t="s">
        <v>163</v>
      </c>
      <c r="C73" s="28" t="s">
        <v>37</v>
      </c>
      <c r="D73" s="30" t="s">
        <v>14</v>
      </c>
      <c r="E73" s="45" t="s">
        <v>102</v>
      </c>
      <c r="F73" s="10" t="s">
        <v>15</v>
      </c>
      <c r="G73" s="32">
        <v>120000</v>
      </c>
      <c r="H73" s="32">
        <v>130000</v>
      </c>
      <c r="I73" s="32">
        <f>H73-G73</f>
      </c>
      <c r="J73" s="33">
        <f>IF(G73&gt;0,(H73-G73)/G73,0)</f>
      </c>
      <c r="K73" s="34" t="s">
        <v>164</v>
      </c>
    </row>
    <row r="74" ht="22" customHeight="1" spans="1:11" x14ac:dyDescent="0.25">
      <c r="A74" s="35">
        <v>70</v>
      </c>
      <c r="B74" s="36" t="s">
        <v>165</v>
      </c>
      <c r="C74" s="35" t="s">
        <v>37</v>
      </c>
      <c r="D74" s="37" t="s">
        <v>14</v>
      </c>
      <c r="E74" s="44" t="s">
        <v>102</v>
      </c>
      <c r="F74" s="10" t="s">
        <v>15</v>
      </c>
      <c r="G74" s="39">
        <v>35000</v>
      </c>
      <c r="H74" s="39">
        <v>38000</v>
      </c>
      <c r="I74" s="39">
        <f>H74-G74</f>
      </c>
      <c r="J74" s="40">
        <f>IF(G74&gt;0,(H74-G74)/G74,0)</f>
      </c>
      <c r="K74" s="41" t="s">
        <v>166</v>
      </c>
    </row>
    <row r="75" ht="22" customHeight="1" spans="1:11" x14ac:dyDescent="0.25">
      <c r="A75" s="28">
        <v>71</v>
      </c>
      <c r="B75" s="29" t="s">
        <v>167</v>
      </c>
      <c r="C75" s="28" t="s">
        <v>37</v>
      </c>
      <c r="D75" s="42" t="s">
        <v>40</v>
      </c>
      <c r="E75" s="45" t="s">
        <v>102</v>
      </c>
      <c r="F75" s="10" t="s">
        <v>15</v>
      </c>
      <c r="G75" s="32">
        <v>10000</v>
      </c>
      <c r="H75" s="32">
        <v>13000</v>
      </c>
      <c r="I75" s="32">
        <f>H75-G75</f>
      </c>
      <c r="J75" s="33">
        <f>IF(G75&gt;0,(H75-G75)/G75,0)</f>
      </c>
      <c r="K75" s="34" t="s">
        <v>168</v>
      </c>
    </row>
    <row r="76" ht="22" customHeight="1" spans="1:11" x14ac:dyDescent="0.25">
      <c r="A76" s="35">
        <v>72</v>
      </c>
      <c r="B76" s="36" t="s">
        <v>169</v>
      </c>
      <c r="C76" s="35" t="s">
        <v>37</v>
      </c>
      <c r="D76" s="37" t="s">
        <v>14</v>
      </c>
      <c r="E76" s="44" t="s">
        <v>102</v>
      </c>
      <c r="F76" s="10" t="s">
        <v>15</v>
      </c>
      <c r="G76" s="39">
        <v>230000</v>
      </c>
      <c r="H76" s="39">
        <v>249000</v>
      </c>
      <c r="I76" s="39">
        <f>H76-G76</f>
      </c>
      <c r="J76" s="40">
        <f>IF(G76&gt;0,(H76-G76)/G76,0)</f>
      </c>
      <c r="K76" s="41" t="s">
        <v>170</v>
      </c>
    </row>
    <row r="77" ht="22" customHeight="1" spans="1:11" x14ac:dyDescent="0.25">
      <c r="A77" s="28">
        <v>73</v>
      </c>
      <c r="B77" s="29" t="s">
        <v>171</v>
      </c>
      <c r="C77" s="28" t="s">
        <v>37</v>
      </c>
      <c r="D77" s="30" t="s">
        <v>14</v>
      </c>
      <c r="E77" s="45" t="s">
        <v>102</v>
      </c>
      <c r="F77" s="23" t="s">
        <v>21</v>
      </c>
      <c r="G77" s="32">
        <v>16500</v>
      </c>
      <c r="H77" s="32">
        <v>19000</v>
      </c>
      <c r="I77" s="32">
        <f>H77-G77</f>
      </c>
      <c r="J77" s="33">
        <f>IF(G77&gt;0,(H77-G77)/G77,0)</f>
      </c>
      <c r="K77" s="34" t="s">
        <v>172</v>
      </c>
    </row>
    <row r="78" ht="22" customHeight="1" spans="1:11" x14ac:dyDescent="0.25">
      <c r="A78" s="35">
        <v>74</v>
      </c>
      <c r="B78" s="36" t="s">
        <v>173</v>
      </c>
      <c r="C78" s="35" t="s">
        <v>37</v>
      </c>
      <c r="D78" s="37" t="s">
        <v>14</v>
      </c>
      <c r="E78" s="44" t="s">
        <v>102</v>
      </c>
      <c r="F78" s="23" t="s">
        <v>21</v>
      </c>
      <c r="G78" s="39">
        <v>12000</v>
      </c>
      <c r="H78" s="39">
        <v>15000</v>
      </c>
      <c r="I78" s="39">
        <f>H78-G78</f>
      </c>
      <c r="J78" s="40">
        <f>IF(G78&gt;0,(H78-G78)/G78,0)</f>
      </c>
      <c r="K78" s="41" t="s">
        <v>174</v>
      </c>
    </row>
    <row r="79" ht="22" customHeight="1" spans="1:11" x14ac:dyDescent="0.25">
      <c r="A79" s="28">
        <v>75</v>
      </c>
      <c r="B79" s="29" t="s">
        <v>175</v>
      </c>
      <c r="C79" s="28" t="s">
        <v>37</v>
      </c>
      <c r="D79" s="42" t="s">
        <v>40</v>
      </c>
      <c r="E79" s="45" t="s">
        <v>102</v>
      </c>
      <c r="F79" s="10" t="s">
        <v>15</v>
      </c>
      <c r="G79" s="32">
        <v>18000</v>
      </c>
      <c r="H79" s="32">
        <v>21000</v>
      </c>
      <c r="I79" s="32">
        <f>H79-G79</f>
      </c>
      <c r="J79" s="33">
        <f>IF(G79&gt;0,(H79-G79)/G79,0)</f>
      </c>
      <c r="K79" s="34" t="s">
        <v>176</v>
      </c>
    </row>
    <row r="80" ht="22" customHeight="1" spans="1:11" x14ac:dyDescent="0.25">
      <c r="A80" s="35">
        <v>76</v>
      </c>
      <c r="B80" s="36" t="s">
        <v>177</v>
      </c>
      <c r="C80" s="35" t="s">
        <v>37</v>
      </c>
      <c r="D80" s="37" t="s">
        <v>14</v>
      </c>
      <c r="E80" s="44" t="s">
        <v>102</v>
      </c>
      <c r="F80" s="10" t="s">
        <v>15</v>
      </c>
      <c r="G80" s="39">
        <v>34520</v>
      </c>
      <c r="H80" s="39">
        <v>38000</v>
      </c>
      <c r="I80" s="39">
        <f>H80-G80</f>
      </c>
      <c r="J80" s="40">
        <f>IF(G80&gt;0,(H80-G80)/G80,0)</f>
      </c>
      <c r="K80" s="41" t="s">
        <v>178</v>
      </c>
    </row>
    <row r="81" ht="22" customHeight="1" spans="1:11" x14ac:dyDescent="0.25">
      <c r="A81" s="28">
        <v>77</v>
      </c>
      <c r="B81" s="29" t="s">
        <v>179</v>
      </c>
      <c r="C81" s="28" t="s">
        <v>37</v>
      </c>
      <c r="D81" s="30" t="s">
        <v>14</v>
      </c>
      <c r="E81" s="45" t="s">
        <v>102</v>
      </c>
      <c r="F81" s="23" t="s">
        <v>21</v>
      </c>
      <c r="G81" s="32">
        <v>73325</v>
      </c>
      <c r="H81" s="32">
        <v>80000</v>
      </c>
      <c r="I81" s="32">
        <f>H81-G81</f>
      </c>
      <c r="J81" s="33">
        <f>IF(G81&gt;0,(H81-G81)/G81,0)</f>
      </c>
      <c r="K81" s="34" t="s">
        <v>180</v>
      </c>
    </row>
    <row r="82" ht="22" customHeight="1" spans="1:11" x14ac:dyDescent="0.25">
      <c r="A82" s="35">
        <v>78</v>
      </c>
      <c r="B82" s="36" t="s">
        <v>181</v>
      </c>
      <c r="C82" s="35" t="s">
        <v>37</v>
      </c>
      <c r="D82" s="37" t="s">
        <v>14</v>
      </c>
      <c r="E82" s="44" t="s">
        <v>102</v>
      </c>
      <c r="F82" s="23" t="s">
        <v>21</v>
      </c>
      <c r="G82" s="39">
        <v>240725</v>
      </c>
      <c r="H82" s="39">
        <v>260000</v>
      </c>
      <c r="I82" s="39">
        <f>H82-G82</f>
      </c>
      <c r="J82" s="40">
        <f>IF(G82&gt;0,(H82-G82)/G82,0)</f>
      </c>
      <c r="K82" s="41" t="s">
        <v>182</v>
      </c>
    </row>
    <row r="83" ht="22" customHeight="1" spans="1:11" x14ac:dyDescent="0.25">
      <c r="A83" s="28">
        <v>79</v>
      </c>
      <c r="B83" s="29" t="s">
        <v>183</v>
      </c>
      <c r="C83" s="28" t="s">
        <v>37</v>
      </c>
      <c r="D83" s="30" t="s">
        <v>14</v>
      </c>
      <c r="E83" s="45" t="s">
        <v>102</v>
      </c>
      <c r="F83" s="23" t="s">
        <v>21</v>
      </c>
      <c r="G83" s="32">
        <v>282840</v>
      </c>
      <c r="H83" s="32">
        <v>306000</v>
      </c>
      <c r="I83" s="32">
        <f>H83-G83</f>
      </c>
      <c r="J83" s="33">
        <f>IF(G83&gt;0,(H83-G83)/G83,0)</f>
      </c>
      <c r="K83" s="34" t="s">
        <v>184</v>
      </c>
    </row>
    <row r="84" ht="22" customHeight="1" spans="1:11" x14ac:dyDescent="0.25">
      <c r="A84" s="35">
        <v>80</v>
      </c>
      <c r="B84" s="36" t="s">
        <v>185</v>
      </c>
      <c r="C84" s="35" t="s">
        <v>37</v>
      </c>
      <c r="D84" s="37" t="s">
        <v>14</v>
      </c>
      <c r="E84" s="44" t="s">
        <v>102</v>
      </c>
      <c r="F84" s="23" t="s">
        <v>21</v>
      </c>
      <c r="G84" s="39">
        <v>707740</v>
      </c>
      <c r="H84" s="39">
        <v>765000</v>
      </c>
      <c r="I84" s="39">
        <f>H84-G84</f>
      </c>
      <c r="J84" s="40">
        <f>IF(G84&gt;0,(H84-G84)/G84,0)</f>
      </c>
      <c r="K84" s="41" t="s">
        <v>186</v>
      </c>
    </row>
    <row r="85" ht="22" customHeight="1" spans="1:11" x14ac:dyDescent="0.25">
      <c r="A85" s="28">
        <v>81</v>
      </c>
      <c r="B85" s="29" t="s">
        <v>187</v>
      </c>
      <c r="C85" s="28" t="s">
        <v>37</v>
      </c>
      <c r="D85" s="30" t="s">
        <v>14</v>
      </c>
      <c r="E85" s="45" t="s">
        <v>102</v>
      </c>
      <c r="F85" s="23" t="s">
        <v>21</v>
      </c>
      <c r="G85" s="32">
        <v>486490</v>
      </c>
      <c r="H85" s="32">
        <v>526000</v>
      </c>
      <c r="I85" s="32">
        <f>H85-G85</f>
      </c>
      <c r="J85" s="33">
        <f>IF(G85&gt;0,(H85-G85)/G85,0)</f>
      </c>
      <c r="K85" s="34" t="s">
        <v>188</v>
      </c>
    </row>
    <row r="86" ht="22" customHeight="1" spans="1:11" x14ac:dyDescent="0.25">
      <c r="A86" s="35">
        <v>82</v>
      </c>
      <c r="B86" s="36" t="s">
        <v>189</v>
      </c>
      <c r="C86" s="35" t="s">
        <v>37</v>
      </c>
      <c r="D86" s="37" t="s">
        <v>14</v>
      </c>
      <c r="E86" s="44" t="s">
        <v>102</v>
      </c>
      <c r="F86" s="23" t="s">
        <v>21</v>
      </c>
      <c r="G86" s="39">
        <v>353640</v>
      </c>
      <c r="H86" s="39">
        <v>382000</v>
      </c>
      <c r="I86" s="39">
        <f>H86-G86</f>
      </c>
      <c r="J86" s="40">
        <f>IF(G86&gt;0,(H86-G86)/G86,0)</f>
      </c>
      <c r="K86" s="41" t="s">
        <v>190</v>
      </c>
    </row>
    <row r="87" ht="22" customHeight="1" spans="1:11" x14ac:dyDescent="0.25">
      <c r="A87" s="28">
        <v>83</v>
      </c>
      <c r="B87" s="29" t="s">
        <v>191</v>
      </c>
      <c r="C87" s="28" t="s">
        <v>37</v>
      </c>
      <c r="D87" s="30" t="s">
        <v>14</v>
      </c>
      <c r="E87" s="45" t="s">
        <v>102</v>
      </c>
      <c r="F87" s="23" t="s">
        <v>21</v>
      </c>
      <c r="G87" s="32">
        <v>47480</v>
      </c>
      <c r="H87" s="32">
        <v>52000</v>
      </c>
      <c r="I87" s="32">
        <f>H87-G87</f>
      </c>
      <c r="J87" s="33">
        <f>IF(G87&gt;0,(H87-G87)/G87,0)</f>
      </c>
      <c r="K87" s="34" t="s">
        <v>192</v>
      </c>
    </row>
    <row r="88" ht="22" customHeight="1" spans="1:11" x14ac:dyDescent="0.25">
      <c r="A88" s="35">
        <v>84</v>
      </c>
      <c r="B88" s="36" t="s">
        <v>193</v>
      </c>
      <c r="C88" s="35" t="s">
        <v>37</v>
      </c>
      <c r="D88" s="37" t="s">
        <v>14</v>
      </c>
      <c r="E88" s="44" t="s">
        <v>102</v>
      </c>
      <c r="F88" s="10" t="s">
        <v>15</v>
      </c>
      <c r="G88" s="39">
        <v>22715</v>
      </c>
      <c r="H88" s="39">
        <v>26000</v>
      </c>
      <c r="I88" s="39">
        <f>H88-G88</f>
      </c>
      <c r="J88" s="40">
        <f>IF(G88&gt;0,(H88-G88)/G88,0)</f>
      </c>
      <c r="K88" s="41" t="s">
        <v>194</v>
      </c>
    </row>
    <row r="89" ht="22" customHeight="1" spans="1:11" x14ac:dyDescent="0.25">
      <c r="A89" s="28">
        <v>85</v>
      </c>
      <c r="B89" s="29" t="s">
        <v>195</v>
      </c>
      <c r="C89" s="28" t="s">
        <v>37</v>
      </c>
      <c r="D89" s="30" t="s">
        <v>14</v>
      </c>
      <c r="E89" s="45" t="s">
        <v>102</v>
      </c>
      <c r="F89" s="23" t="s">
        <v>21</v>
      </c>
      <c r="G89" s="32">
        <v>163585</v>
      </c>
      <c r="H89" s="32">
        <v>177000</v>
      </c>
      <c r="I89" s="32">
        <f>H89-G89</f>
      </c>
      <c r="J89" s="33">
        <f>IF(G89&gt;0,(H89-G89)/G89,0)</f>
      </c>
      <c r="K89" s="34" t="s">
        <v>196</v>
      </c>
    </row>
    <row r="90" ht="22" customHeight="1" spans="1:11" x14ac:dyDescent="0.25">
      <c r="A90" s="35">
        <v>86</v>
      </c>
      <c r="B90" s="36" t="s">
        <v>197</v>
      </c>
      <c r="C90" s="35" t="s">
        <v>37</v>
      </c>
      <c r="D90" s="37" t="s">
        <v>14</v>
      </c>
      <c r="E90" s="44" t="s">
        <v>102</v>
      </c>
      <c r="F90" s="23" t="s">
        <v>21</v>
      </c>
      <c r="G90" s="39">
        <v>481875</v>
      </c>
      <c r="H90" s="39">
        <v>521000</v>
      </c>
      <c r="I90" s="39">
        <f>H90-G90</f>
      </c>
      <c r="J90" s="40">
        <f>IF(G90&gt;0,(H90-G90)/G90,0)</f>
      </c>
      <c r="K90" s="41" t="s">
        <v>198</v>
      </c>
    </row>
    <row r="91" ht="22" customHeight="1" spans="1:11" x14ac:dyDescent="0.25">
      <c r="A91" s="28">
        <v>87</v>
      </c>
      <c r="B91" s="29" t="s">
        <v>199</v>
      </c>
      <c r="C91" s="28" t="s">
        <v>37</v>
      </c>
      <c r="D91" s="30" t="s">
        <v>14</v>
      </c>
      <c r="E91" s="45" t="s">
        <v>102</v>
      </c>
      <c r="F91" s="23" t="s">
        <v>21</v>
      </c>
      <c r="G91" s="32">
        <v>739000</v>
      </c>
      <c r="H91" s="32">
        <v>799000</v>
      </c>
      <c r="I91" s="32">
        <f>H91-G91</f>
      </c>
      <c r="J91" s="33">
        <f>IF(G91&gt;0,(H91-G91)/G91,0)</f>
      </c>
      <c r="K91" s="34" t="s">
        <v>200</v>
      </c>
    </row>
    <row r="92" ht="22" customHeight="1" spans="1:11" x14ac:dyDescent="0.25">
      <c r="A92" s="35">
        <v>88</v>
      </c>
      <c r="B92" s="36" t="s">
        <v>201</v>
      </c>
      <c r="C92" s="35" t="s">
        <v>37</v>
      </c>
      <c r="D92" s="37" t="s">
        <v>14</v>
      </c>
      <c r="E92" s="44" t="s">
        <v>102</v>
      </c>
      <c r="F92" s="23" t="s">
        <v>21</v>
      </c>
      <c r="G92" s="39">
        <v>1236950</v>
      </c>
      <c r="H92" s="39">
        <v>1336000</v>
      </c>
      <c r="I92" s="39">
        <f>H92-G92</f>
      </c>
      <c r="J92" s="40">
        <f>IF(G92&gt;0,(H92-G92)/G92,0)</f>
      </c>
      <c r="K92" s="41" t="s">
        <v>202</v>
      </c>
    </row>
    <row r="93" ht="22" customHeight="1" spans="1:11" x14ac:dyDescent="0.25">
      <c r="A93" s="28">
        <v>89</v>
      </c>
      <c r="B93" s="29" t="s">
        <v>203</v>
      </c>
      <c r="C93" s="28" t="s">
        <v>37</v>
      </c>
      <c r="D93" s="30" t="s">
        <v>14</v>
      </c>
      <c r="E93" s="45" t="s">
        <v>102</v>
      </c>
      <c r="F93" s="10" t="s">
        <v>15</v>
      </c>
      <c r="G93" s="32">
        <v>120825</v>
      </c>
      <c r="H93" s="32">
        <v>131000</v>
      </c>
      <c r="I93" s="32">
        <f>H93-G93</f>
      </c>
      <c r="J93" s="33">
        <f>IF(G93&gt;0,(H93-G93)/G93,0)</f>
      </c>
      <c r="K93" s="34" t="s">
        <v>204</v>
      </c>
    </row>
    <row r="94" ht="22" customHeight="1" spans="1:11" x14ac:dyDescent="0.25">
      <c r="A94" s="35">
        <v>90</v>
      </c>
      <c r="B94" s="36" t="s">
        <v>205</v>
      </c>
      <c r="C94" s="35" t="s">
        <v>37</v>
      </c>
      <c r="D94" s="37" t="s">
        <v>14</v>
      </c>
      <c r="E94" s="44" t="s">
        <v>102</v>
      </c>
      <c r="F94" s="23" t="s">
        <v>21</v>
      </c>
      <c r="G94" s="39">
        <v>46425</v>
      </c>
      <c r="H94" s="39">
        <v>51000</v>
      </c>
      <c r="I94" s="39">
        <f>H94-G94</f>
      </c>
      <c r="J94" s="40">
        <f>IF(G94&gt;0,(H94-G94)/G94,0)</f>
      </c>
      <c r="K94" s="41" t="s">
        <v>206</v>
      </c>
    </row>
    <row r="95" ht="22" customHeight="1" spans="1:11" x14ac:dyDescent="0.25">
      <c r="A95" s="28">
        <v>91</v>
      </c>
      <c r="B95" s="29" t="s">
        <v>207</v>
      </c>
      <c r="C95" s="28" t="s">
        <v>37</v>
      </c>
      <c r="D95" s="30" t="s">
        <v>14</v>
      </c>
      <c r="E95" s="45" t="s">
        <v>102</v>
      </c>
      <c r="F95" s="23" t="s">
        <v>21</v>
      </c>
      <c r="G95" s="32">
        <v>9850</v>
      </c>
      <c r="H95" s="32">
        <v>13000</v>
      </c>
      <c r="I95" s="32">
        <f>H95-G95</f>
      </c>
      <c r="J95" s="33">
        <f>IF(G95&gt;0,(H95-G95)/G95,0)</f>
      </c>
      <c r="K95" s="34" t="s">
        <v>208</v>
      </c>
    </row>
    <row r="96" ht="22" customHeight="1" spans="1:11" x14ac:dyDescent="0.25">
      <c r="A96" s="35">
        <v>92</v>
      </c>
      <c r="B96" s="36" t="s">
        <v>209</v>
      </c>
      <c r="C96" s="35" t="s">
        <v>37</v>
      </c>
      <c r="D96" s="37" t="s">
        <v>14</v>
      </c>
      <c r="E96" s="44" t="s">
        <v>102</v>
      </c>
      <c r="F96" s="23" t="s">
        <v>21</v>
      </c>
      <c r="G96" s="39">
        <v>96700</v>
      </c>
      <c r="H96" s="39">
        <v>105000</v>
      </c>
      <c r="I96" s="39">
        <f>H96-G96</f>
      </c>
      <c r="J96" s="40">
        <f>IF(G96&gt;0,(H96-G96)/G96,0)</f>
      </c>
      <c r="K96" s="41" t="s">
        <v>210</v>
      </c>
    </row>
    <row r="97" ht="22" customHeight="1" spans="1:11" x14ac:dyDescent="0.25">
      <c r="A97" s="28">
        <v>93</v>
      </c>
      <c r="B97" s="29" t="s">
        <v>211</v>
      </c>
      <c r="C97" s="28" t="s">
        <v>37</v>
      </c>
      <c r="D97" s="30" t="s">
        <v>14</v>
      </c>
      <c r="E97" s="45" t="s">
        <v>102</v>
      </c>
      <c r="F97" s="23" t="s">
        <v>21</v>
      </c>
      <c r="G97" s="32">
        <v>120825</v>
      </c>
      <c r="H97" s="32">
        <v>131000</v>
      </c>
      <c r="I97" s="32">
        <f>H97-G97</f>
      </c>
      <c r="J97" s="33">
        <f>IF(G97&gt;0,(H97-G97)/G97,0)</f>
      </c>
      <c r="K97" s="34" t="s">
        <v>212</v>
      </c>
    </row>
    <row r="98" ht="22" customHeight="1" spans="1:11" x14ac:dyDescent="0.25">
      <c r="A98" s="35">
        <v>94</v>
      </c>
      <c r="B98" s="36" t="s">
        <v>213</v>
      </c>
      <c r="C98" s="35" t="s">
        <v>37</v>
      </c>
      <c r="D98" s="37" t="s">
        <v>14</v>
      </c>
      <c r="E98" s="44" t="s">
        <v>102</v>
      </c>
      <c r="F98" s="23" t="s">
        <v>21</v>
      </c>
      <c r="G98" s="39">
        <v>14825</v>
      </c>
      <c r="H98" s="39">
        <v>18000</v>
      </c>
      <c r="I98" s="39">
        <f>H98-G98</f>
      </c>
      <c r="J98" s="40">
        <f>IF(G98&gt;0,(H98-G98)/G98,0)</f>
      </c>
      <c r="K98" s="41" t="s">
        <v>214</v>
      </c>
    </row>
    <row r="99" ht="22" customHeight="1" spans="1:11" x14ac:dyDescent="0.25">
      <c r="A99" s="28">
        <v>95</v>
      </c>
      <c r="B99" s="29" t="s">
        <v>215</v>
      </c>
      <c r="C99" s="28" t="s">
        <v>37</v>
      </c>
      <c r="D99" s="30" t="s">
        <v>14</v>
      </c>
      <c r="E99" s="45" t="s">
        <v>102</v>
      </c>
      <c r="F99" s="23" t="s">
        <v>21</v>
      </c>
      <c r="G99" s="32">
        <v>144950</v>
      </c>
      <c r="H99" s="32">
        <v>157000</v>
      </c>
      <c r="I99" s="32">
        <f>H99-G99</f>
      </c>
      <c r="J99" s="33">
        <f>IF(G99&gt;0,(H99-G99)/G99,0)</f>
      </c>
      <c r="K99" s="34" t="s">
        <v>216</v>
      </c>
    </row>
    <row r="100" ht="22" customHeight="1" spans="1:11" x14ac:dyDescent="0.25">
      <c r="A100" s="35">
        <v>96</v>
      </c>
      <c r="B100" s="36" t="s">
        <v>217</v>
      </c>
      <c r="C100" s="35" t="s">
        <v>37</v>
      </c>
      <c r="D100" s="37" t="s">
        <v>14</v>
      </c>
      <c r="E100" s="44" t="s">
        <v>102</v>
      </c>
      <c r="F100" s="23" t="s">
        <v>21</v>
      </c>
      <c r="G100" s="39">
        <v>173900</v>
      </c>
      <c r="H100" s="39">
        <v>188000</v>
      </c>
      <c r="I100" s="39">
        <f>H100-G100</f>
      </c>
      <c r="J100" s="40">
        <f>IF(G100&gt;0,(H100-G100)/G100,0)</f>
      </c>
      <c r="K100" s="41" t="s">
        <v>218</v>
      </c>
    </row>
    <row r="101" ht="22" customHeight="1" spans="1:11" x14ac:dyDescent="0.25">
      <c r="A101" s="28">
        <v>97</v>
      </c>
      <c r="B101" s="29" t="s">
        <v>219</v>
      </c>
      <c r="C101" s="28" t="s">
        <v>37</v>
      </c>
      <c r="D101" s="30" t="s">
        <v>14</v>
      </c>
      <c r="E101" s="45" t="s">
        <v>102</v>
      </c>
      <c r="F101" s="23" t="s">
        <v>21</v>
      </c>
      <c r="G101" s="32">
        <v>19700</v>
      </c>
      <c r="H101" s="32">
        <v>23000</v>
      </c>
      <c r="I101" s="32">
        <f>H101-G101</f>
      </c>
      <c r="J101" s="33">
        <f>IF(G101&gt;0,(H101-G101)/G101,0)</f>
      </c>
      <c r="K101" s="34" t="s">
        <v>220</v>
      </c>
    </row>
    <row r="102" ht="22" customHeight="1" spans="1:11" x14ac:dyDescent="0.25">
      <c r="A102" s="35">
        <v>98</v>
      </c>
      <c r="B102" s="36" t="s">
        <v>221</v>
      </c>
      <c r="C102" s="35" t="s">
        <v>37</v>
      </c>
      <c r="D102" s="37" t="s">
        <v>14</v>
      </c>
      <c r="E102" s="44" t="s">
        <v>102</v>
      </c>
      <c r="F102" s="23" t="s">
        <v>21</v>
      </c>
      <c r="G102" s="39">
        <v>193200</v>
      </c>
      <c r="H102" s="39">
        <v>209000</v>
      </c>
      <c r="I102" s="39">
        <f>H102-G102</f>
      </c>
      <c r="J102" s="40">
        <f>IF(G102&gt;0,(H102-G102)/G102,0)</f>
      </c>
      <c r="K102" s="41" t="s">
        <v>222</v>
      </c>
    </row>
    <row r="103" ht="22" customHeight="1" spans="1:11" x14ac:dyDescent="0.25">
      <c r="A103" s="28">
        <v>99</v>
      </c>
      <c r="B103" s="29" t="s">
        <v>223</v>
      </c>
      <c r="C103" s="28" t="s">
        <v>37</v>
      </c>
      <c r="D103" s="30" t="s">
        <v>14</v>
      </c>
      <c r="E103" s="45" t="s">
        <v>102</v>
      </c>
      <c r="F103" s="23" t="s">
        <v>21</v>
      </c>
      <c r="G103" s="32">
        <v>24575</v>
      </c>
      <c r="H103" s="32">
        <v>28000</v>
      </c>
      <c r="I103" s="32">
        <f>H103-G103</f>
      </c>
      <c r="J103" s="33">
        <f>IF(G103&gt;0,(H103-G103)/G103,0)</f>
      </c>
      <c r="K103" s="34" t="s">
        <v>224</v>
      </c>
    </row>
    <row r="104" ht="22" customHeight="1" spans="1:11" x14ac:dyDescent="0.25">
      <c r="A104" s="35">
        <v>100</v>
      </c>
      <c r="B104" s="36" t="s">
        <v>225</v>
      </c>
      <c r="C104" s="35" t="s">
        <v>37</v>
      </c>
      <c r="D104" s="37" t="s">
        <v>14</v>
      </c>
      <c r="E104" s="44" t="s">
        <v>102</v>
      </c>
      <c r="F104" s="23" t="s">
        <v>21</v>
      </c>
      <c r="G104" s="39">
        <v>241450</v>
      </c>
      <c r="H104" s="39">
        <v>261000</v>
      </c>
      <c r="I104" s="39">
        <f>H104-G104</f>
      </c>
      <c r="J104" s="40">
        <f>IF(G104&gt;0,(H104-G104)/G104,0)</f>
      </c>
      <c r="K104" s="41" t="s">
        <v>226</v>
      </c>
    </row>
    <row r="105" ht="22" customHeight="1" spans="1:11" x14ac:dyDescent="0.25">
      <c r="A105" s="28">
        <v>101</v>
      </c>
      <c r="B105" s="29" t="s">
        <v>227</v>
      </c>
      <c r="C105" s="28" t="s">
        <v>37</v>
      </c>
      <c r="D105" s="30" t="s">
        <v>14</v>
      </c>
      <c r="E105" s="45" t="s">
        <v>102</v>
      </c>
      <c r="F105" s="23" t="s">
        <v>21</v>
      </c>
      <c r="G105" s="32">
        <v>29450</v>
      </c>
      <c r="H105" s="32">
        <v>32000</v>
      </c>
      <c r="I105" s="32">
        <f>H105-G105</f>
      </c>
      <c r="J105" s="33">
        <f>IF(G105&gt;0,(H105-G105)/G105,0)</f>
      </c>
      <c r="K105" s="34" t="s">
        <v>228</v>
      </c>
    </row>
    <row r="106" ht="22" customHeight="1" spans="1:11" x14ac:dyDescent="0.25">
      <c r="A106" s="35">
        <v>102</v>
      </c>
      <c r="B106" s="36" t="s">
        <v>229</v>
      </c>
      <c r="C106" s="35" t="s">
        <v>37</v>
      </c>
      <c r="D106" s="37" t="s">
        <v>14</v>
      </c>
      <c r="E106" s="44" t="s">
        <v>102</v>
      </c>
      <c r="F106" s="23" t="s">
        <v>21</v>
      </c>
      <c r="G106" s="39">
        <v>289700</v>
      </c>
      <c r="H106" s="39">
        <v>313000</v>
      </c>
      <c r="I106" s="39">
        <f>H106-G106</f>
      </c>
      <c r="J106" s="40">
        <f>IF(G106&gt;0,(H106-G106)/G106,0)</f>
      </c>
      <c r="K106" s="41" t="s">
        <v>230</v>
      </c>
    </row>
    <row r="107" ht="22" customHeight="1" spans="1:11" x14ac:dyDescent="0.25">
      <c r="A107" s="28">
        <v>103</v>
      </c>
      <c r="B107" s="29" t="s">
        <v>231</v>
      </c>
      <c r="C107" s="28" t="s">
        <v>37</v>
      </c>
      <c r="D107" s="30" t="s">
        <v>14</v>
      </c>
      <c r="E107" s="45" t="s">
        <v>102</v>
      </c>
      <c r="F107" s="23" t="s">
        <v>21</v>
      </c>
      <c r="G107" s="32">
        <v>521300</v>
      </c>
      <c r="H107" s="32">
        <v>564000</v>
      </c>
      <c r="I107" s="32">
        <f>H107-G107</f>
      </c>
      <c r="J107" s="33">
        <f>IF(G107&gt;0,(H107-G107)/G107,0)</f>
      </c>
      <c r="K107" s="34" t="s">
        <v>232</v>
      </c>
    </row>
    <row r="108" ht="22" customHeight="1" spans="1:11" x14ac:dyDescent="0.25">
      <c r="A108" s="35">
        <v>104</v>
      </c>
      <c r="B108" s="36" t="s">
        <v>233</v>
      </c>
      <c r="C108" s="35" t="s">
        <v>37</v>
      </c>
      <c r="D108" s="37" t="s">
        <v>14</v>
      </c>
      <c r="E108" s="44" t="s">
        <v>102</v>
      </c>
      <c r="F108" s="10" t="s">
        <v>15</v>
      </c>
      <c r="G108" s="39">
        <v>21500</v>
      </c>
      <c r="H108" s="39">
        <v>24000</v>
      </c>
      <c r="I108" s="39">
        <f>H108-G108</f>
      </c>
      <c r="J108" s="40">
        <f>IF(G108&gt;0,(H108-G108)/G108,0)</f>
      </c>
      <c r="K108" s="41" t="s">
        <v>234</v>
      </c>
    </row>
    <row r="109" ht="22" customHeight="1" spans="1:11" x14ac:dyDescent="0.25">
      <c r="A109" s="28">
        <v>105</v>
      </c>
      <c r="B109" s="29" t="s">
        <v>235</v>
      </c>
      <c r="C109" s="28" t="s">
        <v>37</v>
      </c>
      <c r="D109" s="30" t="s">
        <v>14</v>
      </c>
      <c r="E109" s="45" t="s">
        <v>102</v>
      </c>
      <c r="F109" s="10" t="s">
        <v>15</v>
      </c>
      <c r="G109" s="32">
        <v>13500</v>
      </c>
      <c r="H109" s="32">
        <v>16000</v>
      </c>
      <c r="I109" s="32">
        <f>H109-G109</f>
      </c>
      <c r="J109" s="33">
        <f>IF(G109&gt;0,(H109-G109)/G109,0)</f>
      </c>
      <c r="K109" s="34" t="s">
        <v>236</v>
      </c>
    </row>
    <row r="110" ht="22" customHeight="1" spans="1:11" x14ac:dyDescent="0.25">
      <c r="A110" s="35">
        <v>106</v>
      </c>
      <c r="B110" s="36" t="s">
        <v>237</v>
      </c>
      <c r="C110" s="35" t="s">
        <v>37</v>
      </c>
      <c r="D110" s="37" t="s">
        <v>14</v>
      </c>
      <c r="E110" s="44" t="s">
        <v>102</v>
      </c>
      <c r="F110" s="23" t="s">
        <v>21</v>
      </c>
      <c r="G110" s="39">
        <v>431200</v>
      </c>
      <c r="H110" s="39">
        <v>466000</v>
      </c>
      <c r="I110" s="39">
        <f>H110-G110</f>
      </c>
      <c r="J110" s="40">
        <f>IF(G110&gt;0,(H110-G110)/G110,0)</f>
      </c>
      <c r="K110" s="41" t="s">
        <v>238</v>
      </c>
    </row>
    <row r="111" ht="22" customHeight="1" spans="1:11" x14ac:dyDescent="0.25">
      <c r="A111" s="28">
        <v>107</v>
      </c>
      <c r="B111" s="29" t="s">
        <v>239</v>
      </c>
      <c r="C111" s="28" t="s">
        <v>37</v>
      </c>
      <c r="D111" s="30" t="s">
        <v>14</v>
      </c>
      <c r="E111" s="45" t="s">
        <v>102</v>
      </c>
      <c r="F111" s="23" t="s">
        <v>21</v>
      </c>
      <c r="G111" s="32">
        <v>248800</v>
      </c>
      <c r="H111" s="32">
        <v>269000</v>
      </c>
      <c r="I111" s="32">
        <f>H111-G111</f>
      </c>
      <c r="J111" s="33">
        <f>IF(G111&gt;0,(H111-G111)/G111,0)</f>
      </c>
      <c r="K111" s="34" t="s">
        <v>240</v>
      </c>
    </row>
    <row r="112" ht="22" customHeight="1" spans="1:11" x14ac:dyDescent="0.25">
      <c r="A112" s="35">
        <v>108</v>
      </c>
      <c r="B112" s="36" t="s">
        <v>241</v>
      </c>
      <c r="C112" s="35" t="s">
        <v>37</v>
      </c>
      <c r="D112" s="37" t="s">
        <v>14</v>
      </c>
      <c r="E112" s="44" t="s">
        <v>102</v>
      </c>
      <c r="F112" s="23" t="s">
        <v>21</v>
      </c>
      <c r="G112" s="39">
        <v>47200</v>
      </c>
      <c r="H112" s="39">
        <v>51000</v>
      </c>
      <c r="I112" s="39">
        <f>H112-G112</f>
      </c>
      <c r="J112" s="40">
        <f>IF(G112&gt;0,(H112-G112)/G112,0)</f>
      </c>
      <c r="K112" s="41" t="s">
        <v>242</v>
      </c>
    </row>
    <row r="113" ht="22" customHeight="1" spans="1:11" x14ac:dyDescent="0.25">
      <c r="A113" s="28">
        <v>109</v>
      </c>
      <c r="B113" s="29" t="s">
        <v>243</v>
      </c>
      <c r="C113" s="28" t="s">
        <v>37</v>
      </c>
      <c r="D113" s="30" t="s">
        <v>14</v>
      </c>
      <c r="E113" s="45" t="s">
        <v>102</v>
      </c>
      <c r="F113" s="23" t="s">
        <v>21</v>
      </c>
      <c r="G113" s="32">
        <v>133600</v>
      </c>
      <c r="H113" s="32">
        <v>145000</v>
      </c>
      <c r="I113" s="32">
        <f>H113-G113</f>
      </c>
      <c r="J113" s="33">
        <f>IF(G113&gt;0,(H113-G113)/G113,0)</f>
      </c>
      <c r="K113" s="34" t="s">
        <v>244</v>
      </c>
    </row>
    <row r="114" ht="22" customHeight="1" spans="1:11" x14ac:dyDescent="0.25">
      <c r="A114" s="35">
        <v>110</v>
      </c>
      <c r="B114" s="36" t="s">
        <v>245</v>
      </c>
      <c r="C114" s="35" t="s">
        <v>37</v>
      </c>
      <c r="D114" s="37" t="s">
        <v>14</v>
      </c>
      <c r="E114" s="44" t="s">
        <v>102</v>
      </c>
      <c r="F114" s="23" t="s">
        <v>21</v>
      </c>
      <c r="G114" s="39">
        <v>840150</v>
      </c>
      <c r="H114" s="39">
        <v>908000</v>
      </c>
      <c r="I114" s="39">
        <f>H114-G114</f>
      </c>
      <c r="J114" s="40">
        <f>IF(G114&gt;0,(H114-G114)/G114,0)</f>
      </c>
      <c r="K114" s="41" t="s">
        <v>246</v>
      </c>
    </row>
    <row r="115" ht="22" customHeight="1" spans="1:11" x14ac:dyDescent="0.25">
      <c r="A115" s="28">
        <v>111</v>
      </c>
      <c r="B115" s="29" t="s">
        <v>247</v>
      </c>
      <c r="C115" s="28" t="s">
        <v>37</v>
      </c>
      <c r="D115" s="30" t="s">
        <v>14</v>
      </c>
      <c r="E115" s="45" t="s">
        <v>102</v>
      </c>
      <c r="F115" s="23" t="s">
        <v>21</v>
      </c>
      <c r="G115" s="32">
        <v>187350</v>
      </c>
      <c r="H115" s="32">
        <v>203000</v>
      </c>
      <c r="I115" s="32">
        <f>H115-G115</f>
      </c>
      <c r="J115" s="33">
        <f>IF(G115&gt;0,(H115-G115)/G115,0)</f>
      </c>
      <c r="K115" s="34" t="s">
        <v>248</v>
      </c>
    </row>
    <row r="116" ht="22" customHeight="1" spans="1:11" x14ac:dyDescent="0.25">
      <c r="A116" s="35">
        <v>112</v>
      </c>
      <c r="B116" s="36" t="s">
        <v>249</v>
      </c>
      <c r="C116" s="35" t="s">
        <v>37</v>
      </c>
      <c r="D116" s="37" t="s">
        <v>14</v>
      </c>
      <c r="E116" s="44" t="s">
        <v>102</v>
      </c>
      <c r="F116" s="23" t="s">
        <v>21</v>
      </c>
      <c r="G116" s="39">
        <v>446585</v>
      </c>
      <c r="H116" s="39">
        <v>483000</v>
      </c>
      <c r="I116" s="39">
        <f>H116-G116</f>
      </c>
      <c r="J116" s="40">
        <f>IF(G116&gt;0,(H116-G116)/G116,0)</f>
      </c>
      <c r="K116" s="41" t="s">
        <v>250</v>
      </c>
    </row>
    <row r="117" ht="22" customHeight="1" spans="1:11" x14ac:dyDescent="0.25">
      <c r="A117" s="28">
        <v>113</v>
      </c>
      <c r="B117" s="29" t="s">
        <v>251</v>
      </c>
      <c r="C117" s="28" t="s">
        <v>37</v>
      </c>
      <c r="D117" s="30" t="s">
        <v>14</v>
      </c>
      <c r="E117" s="45" t="s">
        <v>102</v>
      </c>
      <c r="F117" s="10" t="s">
        <v>15</v>
      </c>
      <c r="G117" s="32">
        <v>344840</v>
      </c>
      <c r="H117" s="32">
        <v>373000</v>
      </c>
      <c r="I117" s="32">
        <f>H117-G117</f>
      </c>
      <c r="J117" s="33">
        <f>IF(G117&gt;0,(H117-G117)/G117,0)</f>
      </c>
      <c r="K117" s="34" t="s">
        <v>252</v>
      </c>
    </row>
    <row r="118" ht="22" customHeight="1" spans="1:11" x14ac:dyDescent="0.25">
      <c r="A118" s="35">
        <v>114</v>
      </c>
      <c r="B118" s="36" t="s">
        <v>253</v>
      </c>
      <c r="C118" s="35" t="s">
        <v>37</v>
      </c>
      <c r="D118" s="37" t="s">
        <v>14</v>
      </c>
      <c r="E118" s="44" t="s">
        <v>102</v>
      </c>
      <c r="F118" s="23" t="s">
        <v>21</v>
      </c>
      <c r="G118" s="39">
        <v>94745</v>
      </c>
      <c r="H118" s="39">
        <v>103000</v>
      </c>
      <c r="I118" s="39">
        <f>H118-G118</f>
      </c>
      <c r="J118" s="40">
        <f>IF(G118&gt;0,(H118-G118)/G118,0)</f>
      </c>
      <c r="K118" s="41" t="s">
        <v>254</v>
      </c>
    </row>
    <row r="119" ht="22" customHeight="1" spans="1:11" x14ac:dyDescent="0.25">
      <c r="A119" s="28">
        <v>115</v>
      </c>
      <c r="B119" s="29" t="s">
        <v>255</v>
      </c>
      <c r="C119" s="28" t="s">
        <v>37</v>
      </c>
      <c r="D119" s="30" t="s">
        <v>14</v>
      </c>
      <c r="E119" s="45" t="s">
        <v>102</v>
      </c>
      <c r="F119" s="10" t="s">
        <v>15</v>
      </c>
      <c r="G119" s="32">
        <v>181640</v>
      </c>
      <c r="H119" s="32">
        <v>197000</v>
      </c>
      <c r="I119" s="32">
        <f>H119-G119</f>
      </c>
      <c r="J119" s="33">
        <f>IF(G119&gt;0,(H119-G119)/G119,0)</f>
      </c>
      <c r="K119" s="34" t="s">
        <v>256</v>
      </c>
    </row>
    <row r="120" ht="22" customHeight="1" spans="1:11" x14ac:dyDescent="0.25">
      <c r="A120" s="35">
        <v>116</v>
      </c>
      <c r="B120" s="36" t="s">
        <v>257</v>
      </c>
      <c r="C120" s="35" t="s">
        <v>37</v>
      </c>
      <c r="D120" s="37" t="s">
        <v>14</v>
      </c>
      <c r="E120" s="44" t="s">
        <v>102</v>
      </c>
      <c r="F120" s="23" t="s">
        <v>21</v>
      </c>
      <c r="G120" s="39">
        <v>1453080</v>
      </c>
      <c r="H120" s="39">
        <v>1570000</v>
      </c>
      <c r="I120" s="39">
        <f>H120-G120</f>
      </c>
      <c r="J120" s="40">
        <f>IF(G120&gt;0,(H120-G120)/G120,0)</f>
      </c>
      <c r="K120" s="41" t="s">
        <v>258</v>
      </c>
    </row>
    <row r="121" ht="22" customHeight="1" spans="1:11" x14ac:dyDescent="0.25">
      <c r="A121" s="28">
        <v>117</v>
      </c>
      <c r="B121" s="29" t="s">
        <v>259</v>
      </c>
      <c r="C121" s="28" t="s">
        <v>37</v>
      </c>
      <c r="D121" s="30" t="s">
        <v>14</v>
      </c>
      <c r="E121" s="45" t="s">
        <v>102</v>
      </c>
      <c r="F121" s="23" t="s">
        <v>21</v>
      </c>
      <c r="G121" s="32">
        <v>748933</v>
      </c>
      <c r="H121" s="32">
        <v>809000</v>
      </c>
      <c r="I121" s="32">
        <f>H121-G121</f>
      </c>
      <c r="J121" s="33">
        <f>IF(G121&gt;0,(H121-G121)/G121,0)</f>
      </c>
      <c r="K121" s="34" t="s">
        <v>260</v>
      </c>
    </row>
    <row r="122" ht="22" customHeight="1" spans="1:11" x14ac:dyDescent="0.25">
      <c r="A122" s="35">
        <v>118</v>
      </c>
      <c r="B122" s="36" t="s">
        <v>261</v>
      </c>
      <c r="C122" s="35" t="s">
        <v>37</v>
      </c>
      <c r="D122" s="37" t="s">
        <v>14</v>
      </c>
      <c r="E122" s="44" t="s">
        <v>102</v>
      </c>
      <c r="F122" s="23" t="s">
        <v>21</v>
      </c>
      <c r="G122" s="39">
        <v>168020</v>
      </c>
      <c r="H122" s="39">
        <v>182000</v>
      </c>
      <c r="I122" s="39">
        <f>H122-G122</f>
      </c>
      <c r="J122" s="40">
        <f>IF(G122&gt;0,(H122-G122)/G122,0)</f>
      </c>
      <c r="K122" s="41" t="s">
        <v>262</v>
      </c>
    </row>
    <row r="123" ht="22" customHeight="1" spans="1:11" x14ac:dyDescent="0.25">
      <c r="A123" s="28">
        <v>119</v>
      </c>
      <c r="B123" s="29" t="s">
        <v>263</v>
      </c>
      <c r="C123" s="28" t="s">
        <v>37</v>
      </c>
      <c r="D123" s="30" t="s">
        <v>14</v>
      </c>
      <c r="E123" s="45" t="s">
        <v>102</v>
      </c>
      <c r="F123" s="23" t="s">
        <v>21</v>
      </c>
      <c r="G123" s="32">
        <v>396027</v>
      </c>
      <c r="H123" s="32">
        <v>428000</v>
      </c>
      <c r="I123" s="32">
        <f>H123-G123</f>
      </c>
      <c r="J123" s="33">
        <f>IF(G123&gt;0,(H123-G123)/G123,0)</f>
      </c>
      <c r="K123" s="34" t="s">
        <v>264</v>
      </c>
    </row>
    <row r="124" ht="22" customHeight="1" spans="1:11" x14ac:dyDescent="0.25">
      <c r="A124" s="35">
        <v>120</v>
      </c>
      <c r="B124" s="36" t="s">
        <v>265</v>
      </c>
      <c r="C124" s="35" t="s">
        <v>37</v>
      </c>
      <c r="D124" s="37" t="s">
        <v>14</v>
      </c>
      <c r="E124" s="44" t="s">
        <v>102</v>
      </c>
      <c r="F124" s="10" t="s">
        <v>15</v>
      </c>
      <c r="G124" s="39">
        <v>316120</v>
      </c>
      <c r="H124" s="39">
        <v>342000</v>
      </c>
      <c r="I124" s="39">
        <f>H124-G124</f>
      </c>
      <c r="J124" s="40">
        <f>IF(G124&gt;0,(H124-G124)/G124,0)</f>
      </c>
      <c r="K124" s="41" t="s">
        <v>266</v>
      </c>
    </row>
    <row r="125" ht="22" customHeight="1" spans="1:11" x14ac:dyDescent="0.25">
      <c r="A125" s="28">
        <v>121</v>
      </c>
      <c r="B125" s="29" t="s">
        <v>267</v>
      </c>
      <c r="C125" s="28" t="s">
        <v>37</v>
      </c>
      <c r="D125" s="30" t="s">
        <v>14</v>
      </c>
      <c r="E125" s="45" t="s">
        <v>102</v>
      </c>
      <c r="F125" s="10" t="s">
        <v>15</v>
      </c>
      <c r="G125" s="32">
        <v>60920</v>
      </c>
      <c r="H125" s="32">
        <v>66000</v>
      </c>
      <c r="I125" s="32">
        <f>H125-G125</f>
      </c>
      <c r="J125" s="33">
        <f>IF(G125&gt;0,(H125-G125)/G125,0)</f>
      </c>
      <c r="K125" s="34" t="s">
        <v>268</v>
      </c>
    </row>
    <row r="126" ht="22" customHeight="1" spans="1:11" x14ac:dyDescent="0.25">
      <c r="A126" s="35">
        <v>122</v>
      </c>
      <c r="B126" s="36" t="s">
        <v>269</v>
      </c>
      <c r="C126" s="35" t="s">
        <v>37</v>
      </c>
      <c r="D126" s="37" t="s">
        <v>14</v>
      </c>
      <c r="E126" s="44" t="s">
        <v>102</v>
      </c>
      <c r="F126" s="10" t="s">
        <v>15</v>
      </c>
      <c r="G126" s="39">
        <v>166520</v>
      </c>
      <c r="H126" s="39">
        <v>180000</v>
      </c>
      <c r="I126" s="39">
        <f>H126-G126</f>
      </c>
      <c r="J126" s="40">
        <f>IF(G126&gt;0,(H126-G126)/G126,0)</f>
      </c>
      <c r="K126" s="41" t="s">
        <v>270</v>
      </c>
    </row>
    <row r="127" ht="22" customHeight="1" spans="1:11" x14ac:dyDescent="0.25">
      <c r="A127" s="28">
        <v>123</v>
      </c>
      <c r="B127" s="29" t="s">
        <v>271</v>
      </c>
      <c r="C127" s="28" t="s">
        <v>37</v>
      </c>
      <c r="D127" s="30" t="s">
        <v>14</v>
      </c>
      <c r="E127" s="45" t="s">
        <v>102</v>
      </c>
      <c r="F127" s="10" t="s">
        <v>15</v>
      </c>
      <c r="G127" s="32">
        <v>0</v>
      </c>
      <c r="H127" s="32">
        <v>0</v>
      </c>
      <c r="I127" s="32">
        <f>H127-G127</f>
      </c>
      <c r="J127" s="33">
        <f>IF(G127&gt;0,(H127-G127)/G127,0)</f>
      </c>
      <c r="K127" s="34" t="s">
        <v>272</v>
      </c>
    </row>
    <row r="128" ht="22" customHeight="1" spans="1:11" x14ac:dyDescent="0.25">
      <c r="A128" s="35">
        <v>124</v>
      </c>
      <c r="B128" s="36" t="s">
        <v>273</v>
      </c>
      <c r="C128" s="35" t="s">
        <v>37</v>
      </c>
      <c r="D128" s="37" t="s">
        <v>14</v>
      </c>
      <c r="E128" s="44" t="s">
        <v>102</v>
      </c>
      <c r="F128" s="23" t="s">
        <v>21</v>
      </c>
      <c r="G128" s="39">
        <v>93300</v>
      </c>
      <c r="H128" s="39">
        <v>101000</v>
      </c>
      <c r="I128" s="39">
        <f>H128-G128</f>
      </c>
      <c r="J128" s="40">
        <f>IF(G128&gt;0,(H128-G128)/G128,0)</f>
      </c>
      <c r="K128" s="41" t="s">
        <v>274</v>
      </c>
    </row>
    <row r="129" ht="22" customHeight="1" spans="1:11" x14ac:dyDescent="0.25">
      <c r="A129" s="28">
        <v>125</v>
      </c>
      <c r="B129" s="29" t="s">
        <v>275</v>
      </c>
      <c r="C129" s="28" t="s">
        <v>37</v>
      </c>
      <c r="D129" s="30" t="s">
        <v>14</v>
      </c>
      <c r="E129" s="45" t="s">
        <v>102</v>
      </c>
      <c r="F129" s="23" t="s">
        <v>21</v>
      </c>
      <c r="G129" s="32">
        <v>291200</v>
      </c>
      <c r="H129" s="32">
        <v>315000</v>
      </c>
      <c r="I129" s="32">
        <f>H129-G129</f>
      </c>
      <c r="J129" s="33">
        <f>IF(G129&gt;0,(H129-G129)/G129,0)</f>
      </c>
      <c r="K129" s="34" t="s">
        <v>276</v>
      </c>
    </row>
    <row r="130" ht="22" customHeight="1" spans="1:11" x14ac:dyDescent="0.25">
      <c r="A130" s="35">
        <v>126</v>
      </c>
      <c r="B130" s="36" t="s">
        <v>277</v>
      </c>
      <c r="C130" s="35" t="s">
        <v>37</v>
      </c>
      <c r="D130" s="37" t="s">
        <v>14</v>
      </c>
      <c r="E130" s="44" t="s">
        <v>102</v>
      </c>
      <c r="F130" s="23" t="s">
        <v>21</v>
      </c>
      <c r="G130" s="39">
        <v>46800</v>
      </c>
      <c r="H130" s="39">
        <v>51000</v>
      </c>
      <c r="I130" s="39">
        <f>H130-G130</f>
      </c>
      <c r="J130" s="40">
        <f>IF(G130&gt;0,(H130-G130)/G130,0)</f>
      </c>
      <c r="K130" s="41" t="s">
        <v>278</v>
      </c>
    </row>
    <row r="131" ht="22" customHeight="1" spans="1:11" x14ac:dyDescent="0.25">
      <c r="A131" s="28">
        <v>127</v>
      </c>
      <c r="B131" s="29" t="s">
        <v>279</v>
      </c>
      <c r="C131" s="28" t="s">
        <v>37</v>
      </c>
      <c r="D131" s="30" t="s">
        <v>14</v>
      </c>
      <c r="E131" s="45" t="s">
        <v>102</v>
      </c>
      <c r="F131" s="23" t="s">
        <v>21</v>
      </c>
      <c r="G131" s="32">
        <v>74300</v>
      </c>
      <c r="H131" s="32">
        <v>81000</v>
      </c>
      <c r="I131" s="32">
        <f>H131-G131</f>
      </c>
      <c r="J131" s="33">
        <f>IF(G131&gt;0,(H131-G131)/G131,0)</f>
      </c>
      <c r="K131" s="34" t="s">
        <v>280</v>
      </c>
    </row>
    <row r="132" ht="22" customHeight="1" spans="1:11" x14ac:dyDescent="0.25">
      <c r="A132" s="35">
        <v>128</v>
      </c>
      <c r="B132" s="36" t="s">
        <v>281</v>
      </c>
      <c r="C132" s="35" t="s">
        <v>37</v>
      </c>
      <c r="D132" s="37" t="s">
        <v>14</v>
      </c>
      <c r="E132" s="44" t="s">
        <v>102</v>
      </c>
      <c r="F132" s="10" t="s">
        <v>15</v>
      </c>
      <c r="G132" s="39">
        <v>79000</v>
      </c>
      <c r="H132" s="39">
        <v>86000</v>
      </c>
      <c r="I132" s="39">
        <f>H132-G132</f>
      </c>
      <c r="J132" s="40">
        <f>IF(G132&gt;0,(H132-G132)/G132,0)</f>
      </c>
      <c r="K132" s="41" t="s">
        <v>282</v>
      </c>
    </row>
    <row r="133" ht="22" customHeight="1" spans="1:11" x14ac:dyDescent="0.25">
      <c r="A133" s="28">
        <v>129</v>
      </c>
      <c r="B133" s="29" t="s">
        <v>283</v>
      </c>
      <c r="C133" s="28" t="s">
        <v>37</v>
      </c>
      <c r="D133" s="30" t="s">
        <v>14</v>
      </c>
      <c r="E133" s="45" t="s">
        <v>102</v>
      </c>
      <c r="F133" s="10" t="s">
        <v>15</v>
      </c>
      <c r="G133" s="32">
        <v>49000</v>
      </c>
      <c r="H133" s="32">
        <v>53000</v>
      </c>
      <c r="I133" s="32">
        <f>H133-G133</f>
      </c>
      <c r="J133" s="33">
        <f>IF(G133&gt;0,(H133-G133)/G133,0)</f>
      </c>
      <c r="K133" s="34" t="s">
        <v>284</v>
      </c>
    </row>
    <row r="134" ht="22" customHeight="1" spans="1:11" x14ac:dyDescent="0.25">
      <c r="A134" s="35">
        <v>130</v>
      </c>
      <c r="B134" s="36" t="s">
        <v>285</v>
      </c>
      <c r="C134" s="35" t="s">
        <v>37</v>
      </c>
      <c r="D134" s="37" t="s">
        <v>14</v>
      </c>
      <c r="E134" s="44" t="s">
        <v>102</v>
      </c>
      <c r="F134" s="10" t="s">
        <v>15</v>
      </c>
      <c r="G134" s="39">
        <v>85000</v>
      </c>
      <c r="H134" s="39">
        <v>92000</v>
      </c>
      <c r="I134" s="39">
        <f>H134-G134</f>
      </c>
      <c r="J134" s="40">
        <f>IF(G134&gt;0,(H134-G134)/G134,0)</f>
      </c>
      <c r="K134" s="41" t="s">
        <v>286</v>
      </c>
    </row>
    <row r="135" ht="22" customHeight="1" spans="1:11" x14ac:dyDescent="0.25">
      <c r="A135" s="28">
        <v>131</v>
      </c>
      <c r="B135" s="29" t="s">
        <v>62</v>
      </c>
      <c r="C135" s="28" t="s">
        <v>37</v>
      </c>
      <c r="D135" s="30" t="s">
        <v>14</v>
      </c>
      <c r="E135" s="45" t="s">
        <v>102</v>
      </c>
      <c r="F135" s="10" t="s">
        <v>15</v>
      </c>
      <c r="G135" s="32">
        <v>70000</v>
      </c>
      <c r="H135" s="32">
        <v>76000</v>
      </c>
      <c r="I135" s="32">
        <f>H135-G135</f>
      </c>
      <c r="J135" s="33">
        <f>IF(G135&gt;0,(H135-G135)/G135,0)</f>
      </c>
      <c r="K135" s="34" t="s">
        <v>287</v>
      </c>
    </row>
    <row r="136" ht="22" customHeight="1" spans="1:11" x14ac:dyDescent="0.25">
      <c r="A136" s="35">
        <v>132</v>
      </c>
      <c r="B136" s="36" t="s">
        <v>288</v>
      </c>
      <c r="C136" s="35" t="s">
        <v>37</v>
      </c>
      <c r="D136" s="37" t="s">
        <v>14</v>
      </c>
      <c r="E136" s="44" t="s">
        <v>102</v>
      </c>
      <c r="F136" s="10" t="s">
        <v>15</v>
      </c>
      <c r="G136" s="39">
        <v>50000</v>
      </c>
      <c r="H136" s="39">
        <v>54000</v>
      </c>
      <c r="I136" s="39">
        <f>H136-G136</f>
      </c>
      <c r="J136" s="40">
        <f>IF(G136&gt;0,(H136-G136)/G136,0)</f>
      </c>
      <c r="K136" s="41" t="s">
        <v>289</v>
      </c>
    </row>
    <row r="137" ht="22" customHeight="1" spans="1:11" x14ac:dyDescent="0.25">
      <c r="A137" s="28">
        <v>133</v>
      </c>
      <c r="B137" s="29" t="s">
        <v>290</v>
      </c>
      <c r="C137" s="28" t="s">
        <v>37</v>
      </c>
      <c r="D137" s="30" t="s">
        <v>14</v>
      </c>
      <c r="E137" s="45" t="s">
        <v>102</v>
      </c>
      <c r="F137" s="10" t="s">
        <v>15</v>
      </c>
      <c r="G137" s="32">
        <v>212500</v>
      </c>
      <c r="H137" s="32">
        <v>230000</v>
      </c>
      <c r="I137" s="32">
        <f>H137-G137</f>
      </c>
      <c r="J137" s="33">
        <f>IF(G137&gt;0,(H137-G137)/G137,0)</f>
      </c>
      <c r="K137" s="34" t="s">
        <v>291</v>
      </c>
    </row>
    <row r="138" ht="22" customHeight="1" spans="1:11" x14ac:dyDescent="0.25">
      <c r="A138" s="35">
        <v>134</v>
      </c>
      <c r="B138" s="36" t="s">
        <v>292</v>
      </c>
      <c r="C138" s="35" t="s">
        <v>37</v>
      </c>
      <c r="D138" s="37" t="s">
        <v>14</v>
      </c>
      <c r="E138" s="44" t="s">
        <v>102</v>
      </c>
      <c r="F138" s="10" t="s">
        <v>15</v>
      </c>
      <c r="G138" s="39">
        <v>55000</v>
      </c>
      <c r="H138" s="39">
        <v>60000</v>
      </c>
      <c r="I138" s="39">
        <f>H138-G138</f>
      </c>
      <c r="J138" s="40">
        <f>IF(G138&gt;0,(H138-G138)/G138,0)</f>
      </c>
      <c r="K138" s="41" t="s">
        <v>293</v>
      </c>
    </row>
    <row r="139" ht="22" customHeight="1" spans="1:11" x14ac:dyDescent="0.25">
      <c r="A139" s="28">
        <v>135</v>
      </c>
      <c r="B139" s="29" t="s">
        <v>294</v>
      </c>
      <c r="C139" s="28" t="s">
        <v>37</v>
      </c>
      <c r="D139" s="30" t="s">
        <v>14</v>
      </c>
      <c r="E139" s="45" t="s">
        <v>102</v>
      </c>
      <c r="F139" s="10" t="s">
        <v>15</v>
      </c>
      <c r="G139" s="32">
        <v>237500</v>
      </c>
      <c r="H139" s="32">
        <v>257000</v>
      </c>
      <c r="I139" s="32">
        <f>H139-G139</f>
      </c>
      <c r="J139" s="33">
        <f>IF(G139&gt;0,(H139-G139)/G139,0)</f>
      </c>
      <c r="K139" s="34" t="s">
        <v>295</v>
      </c>
    </row>
    <row r="140" ht="22" customHeight="1" spans="1:11" x14ac:dyDescent="0.25">
      <c r="A140" s="35">
        <v>136</v>
      </c>
      <c r="B140" s="36" t="s">
        <v>296</v>
      </c>
      <c r="C140" s="35" t="s">
        <v>37</v>
      </c>
      <c r="D140" s="43" t="s">
        <v>40</v>
      </c>
      <c r="E140" s="44" t="s">
        <v>102</v>
      </c>
      <c r="F140" s="10" t="s">
        <v>15</v>
      </c>
      <c r="G140" s="39">
        <v>20000</v>
      </c>
      <c r="H140" s="39">
        <v>23000</v>
      </c>
      <c r="I140" s="39">
        <f>H140-G140</f>
      </c>
      <c r="J140" s="40">
        <f>IF(G140&gt;0,(H140-G140)/G140,0)</f>
      </c>
      <c r="K140" s="41" t="s">
        <v>297</v>
      </c>
    </row>
    <row r="141" ht="22" customHeight="1" spans="1:11" x14ac:dyDescent="0.25">
      <c r="A141" s="28">
        <v>137</v>
      </c>
      <c r="B141" s="29" t="s">
        <v>298</v>
      </c>
      <c r="C141" s="28" t="s">
        <v>37</v>
      </c>
      <c r="D141" s="30" t="s">
        <v>14</v>
      </c>
      <c r="E141" s="45" t="s">
        <v>102</v>
      </c>
      <c r="F141" s="10" t="s">
        <v>15</v>
      </c>
      <c r="G141" s="32">
        <v>90000</v>
      </c>
      <c r="H141" s="32">
        <v>98000</v>
      </c>
      <c r="I141" s="32">
        <f>H141-G141</f>
      </c>
      <c r="J141" s="33">
        <f>IF(G141&gt;0,(H141-G141)/G141,0)</f>
      </c>
      <c r="K141" s="34" t="s">
        <v>299</v>
      </c>
    </row>
    <row r="142" ht="22" customHeight="1" spans="1:11" x14ac:dyDescent="0.25">
      <c r="A142" s="35">
        <v>138</v>
      </c>
      <c r="B142" s="36" t="s">
        <v>300</v>
      </c>
      <c r="C142" s="35" t="s">
        <v>37</v>
      </c>
      <c r="D142" s="37" t="s">
        <v>14</v>
      </c>
      <c r="E142" s="44" t="s">
        <v>102</v>
      </c>
      <c r="F142" s="10" t="s">
        <v>15</v>
      </c>
      <c r="G142" s="39">
        <v>65000</v>
      </c>
      <c r="H142" s="39">
        <v>71000</v>
      </c>
      <c r="I142" s="39">
        <f>H142-G142</f>
      </c>
      <c r="J142" s="40">
        <f>IF(G142&gt;0,(H142-G142)/G142,0)</f>
      </c>
      <c r="K142" s="41" t="s">
        <v>301</v>
      </c>
    </row>
    <row r="143" ht="22" customHeight="1" spans="1:11" x14ac:dyDescent="0.25">
      <c r="A143" s="28">
        <v>139</v>
      </c>
      <c r="B143" s="29" t="s">
        <v>302</v>
      </c>
      <c r="C143" s="28" t="s">
        <v>37</v>
      </c>
      <c r="D143" s="30" t="s">
        <v>14</v>
      </c>
      <c r="E143" s="45" t="s">
        <v>102</v>
      </c>
      <c r="F143" s="10" t="s">
        <v>15</v>
      </c>
      <c r="G143" s="32">
        <v>9000</v>
      </c>
      <c r="H143" s="32">
        <v>12000</v>
      </c>
      <c r="I143" s="32">
        <f>H143-G143</f>
      </c>
      <c r="J143" s="33">
        <f>IF(G143&gt;0,(H143-G143)/G143,0)</f>
      </c>
      <c r="K143" s="34" t="s">
        <v>303</v>
      </c>
    </row>
    <row r="144" ht="22" customHeight="1" spans="1:11" x14ac:dyDescent="0.25">
      <c r="A144" s="35">
        <v>140</v>
      </c>
      <c r="B144" s="36" t="s">
        <v>304</v>
      </c>
      <c r="C144" s="35" t="s">
        <v>37</v>
      </c>
      <c r="D144" s="37" t="s">
        <v>14</v>
      </c>
      <c r="E144" s="44" t="s">
        <v>102</v>
      </c>
      <c r="F144" s="10" t="s">
        <v>15</v>
      </c>
      <c r="G144" s="39">
        <v>2250</v>
      </c>
      <c r="H144" s="39">
        <v>5000</v>
      </c>
      <c r="I144" s="39">
        <f>H144-G144</f>
      </c>
      <c r="J144" s="40">
        <f>IF(G144&gt;0,(H144-G144)/G144,0)</f>
      </c>
      <c r="K144" s="41" t="s">
        <v>305</v>
      </c>
    </row>
    <row r="145" ht="22" customHeight="1" spans="1:11" x14ac:dyDescent="0.25">
      <c r="A145" s="28">
        <v>141</v>
      </c>
      <c r="B145" s="29" t="s">
        <v>306</v>
      </c>
      <c r="C145" s="28" t="s">
        <v>37</v>
      </c>
      <c r="D145" s="30" t="s">
        <v>14</v>
      </c>
      <c r="E145" s="45" t="s">
        <v>102</v>
      </c>
      <c r="F145" s="10" t="s">
        <v>15</v>
      </c>
      <c r="G145" s="32">
        <v>5900</v>
      </c>
      <c r="H145" s="32">
        <v>9000</v>
      </c>
      <c r="I145" s="32">
        <f>H145-G145</f>
      </c>
      <c r="J145" s="33">
        <f>IF(G145&gt;0,(H145-G145)/G145,0)</f>
      </c>
      <c r="K145" s="34" t="s">
        <v>307</v>
      </c>
    </row>
    <row r="146" ht="22" customHeight="1" spans="1:11" x14ac:dyDescent="0.25">
      <c r="A146" s="35">
        <v>142</v>
      </c>
      <c r="B146" s="36" t="s">
        <v>308</v>
      </c>
      <c r="C146" s="35" t="s">
        <v>37</v>
      </c>
      <c r="D146" s="37" t="s">
        <v>14</v>
      </c>
      <c r="E146" s="44" t="s">
        <v>102</v>
      </c>
      <c r="F146" s="10" t="s">
        <v>15</v>
      </c>
      <c r="G146" s="39">
        <v>14000</v>
      </c>
      <c r="H146" s="39">
        <v>17000</v>
      </c>
      <c r="I146" s="39">
        <f>H146-G146</f>
      </c>
      <c r="J146" s="40">
        <f>IF(G146&gt;0,(H146-G146)/G146,0)</f>
      </c>
      <c r="K146" s="41" t="s">
        <v>309</v>
      </c>
    </row>
    <row r="147" ht="22" customHeight="1" spans="1:11" x14ac:dyDescent="0.25">
      <c r="A147" s="28">
        <v>143</v>
      </c>
      <c r="B147" s="29" t="s">
        <v>310</v>
      </c>
      <c r="C147" s="28" t="s">
        <v>37</v>
      </c>
      <c r="D147" s="30" t="s">
        <v>14</v>
      </c>
      <c r="E147" s="45" t="s">
        <v>102</v>
      </c>
      <c r="F147" s="10" t="s">
        <v>15</v>
      </c>
      <c r="G147" s="32">
        <v>3000</v>
      </c>
      <c r="H147" s="32">
        <v>6000</v>
      </c>
      <c r="I147" s="32">
        <f>H147-G147</f>
      </c>
      <c r="J147" s="33">
        <f>IF(G147&gt;0,(H147-G147)/G147,0)</f>
      </c>
      <c r="K147" s="34" t="s">
        <v>311</v>
      </c>
    </row>
    <row r="148" ht="22" customHeight="1" spans="1:11" x14ac:dyDescent="0.25">
      <c r="A148" s="35">
        <v>144</v>
      </c>
      <c r="B148" s="36" t="s">
        <v>312</v>
      </c>
      <c r="C148" s="35" t="s">
        <v>37</v>
      </c>
      <c r="D148" s="37" t="s">
        <v>14</v>
      </c>
      <c r="E148" s="44" t="s">
        <v>102</v>
      </c>
      <c r="F148" s="10" t="s">
        <v>15</v>
      </c>
      <c r="G148" s="39">
        <v>4500</v>
      </c>
      <c r="H148" s="39">
        <v>7000</v>
      </c>
      <c r="I148" s="39">
        <f>H148-G148</f>
      </c>
      <c r="J148" s="40">
        <f>IF(G148&gt;0,(H148-G148)/G148,0)</f>
      </c>
      <c r="K148" s="41" t="s">
        <v>313</v>
      </c>
    </row>
    <row r="149" ht="22" customHeight="1" spans="1:11" x14ac:dyDescent="0.25">
      <c r="A149" s="28">
        <v>145</v>
      </c>
      <c r="B149" s="29" t="s">
        <v>312</v>
      </c>
      <c r="C149" s="28" t="s">
        <v>37</v>
      </c>
      <c r="D149" s="30" t="s">
        <v>14</v>
      </c>
      <c r="E149" s="45" t="s">
        <v>102</v>
      </c>
      <c r="F149" s="10" t="s">
        <v>15</v>
      </c>
      <c r="G149" s="32">
        <v>4500</v>
      </c>
      <c r="H149" s="32">
        <v>7000</v>
      </c>
      <c r="I149" s="32">
        <f>H149-G149</f>
      </c>
      <c r="J149" s="33">
        <f>IF(G149&gt;0,(H149-G149)/G149,0)</f>
      </c>
      <c r="K149" s="34" t="s">
        <v>314</v>
      </c>
    </row>
    <row r="150" ht="22" customHeight="1" spans="1:11" x14ac:dyDescent="0.25">
      <c r="A150" s="35">
        <v>146</v>
      </c>
      <c r="B150" s="36" t="s">
        <v>315</v>
      </c>
      <c r="C150" s="35" t="s">
        <v>37</v>
      </c>
      <c r="D150" s="37" t="s">
        <v>14</v>
      </c>
      <c r="E150" s="44" t="s">
        <v>102</v>
      </c>
      <c r="F150" s="10" t="s">
        <v>15</v>
      </c>
      <c r="G150" s="39">
        <v>10000</v>
      </c>
      <c r="H150" s="39">
        <v>13000</v>
      </c>
      <c r="I150" s="39">
        <f>H150-G150</f>
      </c>
      <c r="J150" s="40">
        <f>IF(G150&gt;0,(H150-G150)/G150,0)</f>
      </c>
      <c r="K150" s="41" t="s">
        <v>316</v>
      </c>
    </row>
    <row r="151" ht="22" customHeight="1" spans="1:11" x14ac:dyDescent="0.25">
      <c r="A151" s="28">
        <v>147</v>
      </c>
      <c r="B151" s="29" t="s">
        <v>317</v>
      </c>
      <c r="C151" s="28" t="s">
        <v>37</v>
      </c>
      <c r="D151" s="30" t="s">
        <v>14</v>
      </c>
      <c r="E151" s="45" t="s">
        <v>102</v>
      </c>
      <c r="F151" s="10" t="s">
        <v>15</v>
      </c>
      <c r="G151" s="32">
        <v>20000</v>
      </c>
      <c r="H151" s="32">
        <v>23000</v>
      </c>
      <c r="I151" s="32">
        <f>H151-G151</f>
      </c>
      <c r="J151" s="33">
        <f>IF(G151&gt;0,(H151-G151)/G151,0)</f>
      </c>
      <c r="K151" s="34" t="s">
        <v>318</v>
      </c>
    </row>
    <row r="152" ht="22" customHeight="1" spans="1:11" x14ac:dyDescent="0.25">
      <c r="A152" s="35">
        <v>148</v>
      </c>
      <c r="B152" s="36" t="s">
        <v>319</v>
      </c>
      <c r="C152" s="35" t="s">
        <v>37</v>
      </c>
      <c r="D152" s="37" t="s">
        <v>14</v>
      </c>
      <c r="E152" s="44" t="s">
        <v>102</v>
      </c>
      <c r="F152" s="10" t="s">
        <v>15</v>
      </c>
      <c r="G152" s="39">
        <v>5500</v>
      </c>
      <c r="H152" s="39">
        <v>8000</v>
      </c>
      <c r="I152" s="39">
        <f>H152-G152</f>
      </c>
      <c r="J152" s="40">
        <f>IF(G152&gt;0,(H152-G152)/G152,0)</f>
      </c>
      <c r="K152" s="41" t="s">
        <v>320</v>
      </c>
    </row>
    <row r="153" ht="22" customHeight="1" spans="1:11" x14ac:dyDescent="0.25">
      <c r="A153" s="28">
        <v>149</v>
      </c>
      <c r="B153" s="29" t="s">
        <v>321</v>
      </c>
      <c r="C153" s="28" t="s">
        <v>37</v>
      </c>
      <c r="D153" s="30" t="s">
        <v>14</v>
      </c>
      <c r="E153" s="45" t="s">
        <v>102</v>
      </c>
      <c r="F153" s="10" t="s">
        <v>15</v>
      </c>
      <c r="G153" s="32">
        <v>7000</v>
      </c>
      <c r="H153" s="32">
        <v>10000</v>
      </c>
      <c r="I153" s="32">
        <f>H153-G153</f>
      </c>
      <c r="J153" s="33">
        <f>IF(G153&gt;0,(H153-G153)/G153,0)</f>
      </c>
      <c r="K153" s="34" t="s">
        <v>322</v>
      </c>
    </row>
    <row r="154" ht="22" customHeight="1" spans="1:11" x14ac:dyDescent="0.25">
      <c r="A154" s="35">
        <v>150</v>
      </c>
      <c r="B154" s="36" t="s">
        <v>321</v>
      </c>
      <c r="C154" s="35" t="s">
        <v>37</v>
      </c>
      <c r="D154" s="37" t="s">
        <v>14</v>
      </c>
      <c r="E154" s="44" t="s">
        <v>102</v>
      </c>
      <c r="F154" s="10" t="s">
        <v>15</v>
      </c>
      <c r="G154" s="39">
        <v>7000</v>
      </c>
      <c r="H154" s="39">
        <v>10000</v>
      </c>
      <c r="I154" s="39">
        <f>H154-G154</f>
      </c>
      <c r="J154" s="40">
        <f>IF(G154&gt;0,(H154-G154)/G154,0)</f>
      </c>
      <c r="K154" s="41" t="s">
        <v>323</v>
      </c>
    </row>
    <row r="155" ht="22" customHeight="1" spans="1:11" x14ac:dyDescent="0.25">
      <c r="A155" s="28">
        <v>151</v>
      </c>
      <c r="B155" s="29" t="s">
        <v>324</v>
      </c>
      <c r="C155" s="28" t="s">
        <v>37</v>
      </c>
      <c r="D155" s="30" t="s">
        <v>14</v>
      </c>
      <c r="E155" s="45" t="s">
        <v>102</v>
      </c>
      <c r="F155" s="10" t="s">
        <v>15</v>
      </c>
      <c r="G155" s="32">
        <v>15000</v>
      </c>
      <c r="H155" s="32">
        <v>18000</v>
      </c>
      <c r="I155" s="32">
        <f>H155-G155</f>
      </c>
      <c r="J155" s="33">
        <f>IF(G155&gt;0,(H155-G155)/G155,0)</f>
      </c>
      <c r="K155" s="34" t="s">
        <v>325</v>
      </c>
    </row>
    <row r="156" ht="22" customHeight="1" spans="1:11" x14ac:dyDescent="0.25">
      <c r="A156" s="35">
        <v>152</v>
      </c>
      <c r="B156" s="36" t="s">
        <v>326</v>
      </c>
      <c r="C156" s="35" t="s">
        <v>37</v>
      </c>
      <c r="D156" s="37" t="s">
        <v>14</v>
      </c>
      <c r="E156" s="44" t="s">
        <v>102</v>
      </c>
      <c r="F156" s="10" t="s">
        <v>15</v>
      </c>
      <c r="G156" s="39">
        <v>17000</v>
      </c>
      <c r="H156" s="39">
        <v>20000</v>
      </c>
      <c r="I156" s="39">
        <f>H156-G156</f>
      </c>
      <c r="J156" s="40">
        <f>IF(G156&gt;0,(H156-G156)/G156,0)</f>
      </c>
      <c r="K156" s="41" t="s">
        <v>327</v>
      </c>
    </row>
    <row r="157" ht="22" customHeight="1" spans="1:11" x14ac:dyDescent="0.25">
      <c r="A157" s="28">
        <v>153</v>
      </c>
      <c r="B157" s="29" t="s">
        <v>328</v>
      </c>
      <c r="C157" s="28" t="s">
        <v>37</v>
      </c>
      <c r="D157" s="30" t="s">
        <v>14</v>
      </c>
      <c r="E157" s="45" t="s">
        <v>102</v>
      </c>
      <c r="F157" s="23" t="s">
        <v>21</v>
      </c>
      <c r="G157" s="32">
        <v>25000</v>
      </c>
      <c r="H157" s="32">
        <v>28000</v>
      </c>
      <c r="I157" s="32">
        <f>H157-G157</f>
      </c>
      <c r="J157" s="33">
        <f>IF(G157&gt;0,(H157-G157)/G157,0)</f>
      </c>
      <c r="K157" s="34" t="s">
        <v>329</v>
      </c>
    </row>
    <row r="158" ht="22" customHeight="1" spans="1:11" x14ac:dyDescent="0.25">
      <c r="A158" s="35">
        <v>154</v>
      </c>
      <c r="B158" s="36" t="s">
        <v>328</v>
      </c>
      <c r="C158" s="35" t="s">
        <v>37</v>
      </c>
      <c r="D158" s="37" t="s">
        <v>14</v>
      </c>
      <c r="E158" s="44" t="s">
        <v>102</v>
      </c>
      <c r="F158" s="10" t="s">
        <v>15</v>
      </c>
      <c r="G158" s="39">
        <v>22500</v>
      </c>
      <c r="H158" s="39">
        <v>25000</v>
      </c>
      <c r="I158" s="39">
        <f>H158-G158</f>
      </c>
      <c r="J158" s="40">
        <f>IF(G158&gt;0,(H158-G158)/G158,0)</f>
      </c>
      <c r="K158" s="41" t="s">
        <v>330</v>
      </c>
    </row>
    <row r="159" ht="22" customHeight="1" spans="1:11" x14ac:dyDescent="0.25">
      <c r="A159" s="28">
        <v>155</v>
      </c>
      <c r="B159" s="29" t="s">
        <v>331</v>
      </c>
      <c r="C159" s="28" t="s">
        <v>37</v>
      </c>
      <c r="D159" s="30" t="s">
        <v>14</v>
      </c>
      <c r="E159" s="45" t="s">
        <v>102</v>
      </c>
      <c r="F159" s="10" t="s">
        <v>15</v>
      </c>
      <c r="G159" s="32">
        <v>30000</v>
      </c>
      <c r="H159" s="32">
        <v>33000</v>
      </c>
      <c r="I159" s="32">
        <f>H159-G159</f>
      </c>
      <c r="J159" s="33">
        <f>IF(G159&gt;0,(H159-G159)/G159,0)</f>
      </c>
      <c r="K159" s="34" t="s">
        <v>332</v>
      </c>
    </row>
    <row r="160" ht="22" customHeight="1" spans="1:11" x14ac:dyDescent="0.25">
      <c r="A160" s="35">
        <v>156</v>
      </c>
      <c r="B160" s="36" t="s">
        <v>331</v>
      </c>
      <c r="C160" s="35" t="s">
        <v>37</v>
      </c>
      <c r="D160" s="37" t="s">
        <v>14</v>
      </c>
      <c r="E160" s="44" t="s">
        <v>102</v>
      </c>
      <c r="F160" s="10" t="s">
        <v>15</v>
      </c>
      <c r="G160" s="39">
        <v>16800</v>
      </c>
      <c r="H160" s="39">
        <v>20000</v>
      </c>
      <c r="I160" s="39">
        <f>H160-G160</f>
      </c>
      <c r="J160" s="40">
        <f>IF(G160&gt;0,(H160-G160)/G160,0)</f>
      </c>
      <c r="K160" s="41" t="s">
        <v>333</v>
      </c>
    </row>
    <row r="161" ht="22" customHeight="1" spans="1:11" x14ac:dyDescent="0.25">
      <c r="A161" s="28">
        <v>157</v>
      </c>
      <c r="B161" s="29" t="s">
        <v>334</v>
      </c>
      <c r="C161" s="28" t="s">
        <v>37</v>
      </c>
      <c r="D161" s="30" t="s">
        <v>14</v>
      </c>
      <c r="E161" s="45" t="s">
        <v>102</v>
      </c>
      <c r="F161" s="10" t="s">
        <v>15</v>
      </c>
      <c r="G161" s="32">
        <v>13000</v>
      </c>
      <c r="H161" s="32">
        <v>16000</v>
      </c>
      <c r="I161" s="32">
        <f>H161-G161</f>
      </c>
      <c r="J161" s="33">
        <f>IF(G161&gt;0,(H161-G161)/G161,0)</f>
      </c>
      <c r="K161" s="34" t="s">
        <v>335</v>
      </c>
    </row>
    <row r="162" ht="22" customHeight="1" spans="1:11" x14ac:dyDescent="0.25">
      <c r="A162" s="35">
        <v>158</v>
      </c>
      <c r="B162" s="36" t="s">
        <v>336</v>
      </c>
      <c r="C162" s="35" t="s">
        <v>37</v>
      </c>
      <c r="D162" s="43" t="s">
        <v>40</v>
      </c>
      <c r="E162" s="44" t="s">
        <v>102</v>
      </c>
      <c r="F162" s="10" t="s">
        <v>15</v>
      </c>
      <c r="G162" s="39">
        <v>9000</v>
      </c>
      <c r="H162" s="39">
        <v>12000</v>
      </c>
      <c r="I162" s="39">
        <f>H162-G162</f>
      </c>
      <c r="J162" s="40">
        <f>IF(G162&gt;0,(H162-G162)/G162,0)</f>
      </c>
      <c r="K162" s="41" t="s">
        <v>337</v>
      </c>
    </row>
    <row r="163" ht="22" customHeight="1" spans="1:11" x14ac:dyDescent="0.25">
      <c r="A163" s="28">
        <v>159</v>
      </c>
      <c r="B163" s="29" t="s">
        <v>338</v>
      </c>
      <c r="C163" s="28" t="s">
        <v>37</v>
      </c>
      <c r="D163" s="30" t="s">
        <v>14</v>
      </c>
      <c r="E163" s="45" t="s">
        <v>102</v>
      </c>
      <c r="F163" s="10" t="s">
        <v>15</v>
      </c>
      <c r="G163" s="32">
        <v>11000</v>
      </c>
      <c r="H163" s="32">
        <v>14000</v>
      </c>
      <c r="I163" s="32">
        <f>H163-G163</f>
      </c>
      <c r="J163" s="33">
        <f>IF(G163&gt;0,(H163-G163)/G163,0)</f>
      </c>
      <c r="K163" s="34" t="s">
        <v>339</v>
      </c>
    </row>
    <row r="164" ht="22" customHeight="1" spans="1:11" x14ac:dyDescent="0.25">
      <c r="A164" s="35">
        <v>160</v>
      </c>
      <c r="B164" s="36" t="s">
        <v>340</v>
      </c>
      <c r="C164" s="35" t="s">
        <v>37</v>
      </c>
      <c r="D164" s="37" t="s">
        <v>14</v>
      </c>
      <c r="E164" s="44" t="s">
        <v>102</v>
      </c>
      <c r="F164" s="10" t="s">
        <v>15</v>
      </c>
      <c r="G164" s="39">
        <v>13000</v>
      </c>
      <c r="H164" s="39">
        <v>16000</v>
      </c>
      <c r="I164" s="39">
        <f>H164-G164</f>
      </c>
      <c r="J164" s="40">
        <f>IF(G164&gt;0,(H164-G164)/G164,0)</f>
      </c>
      <c r="K164" s="41" t="s">
        <v>341</v>
      </c>
    </row>
    <row r="165" ht="22" customHeight="1" spans="1:11" x14ac:dyDescent="0.25">
      <c r="A165" s="28">
        <v>161</v>
      </c>
      <c r="B165" s="29" t="s">
        <v>342</v>
      </c>
      <c r="C165" s="28" t="s">
        <v>37</v>
      </c>
      <c r="D165" s="42" t="s">
        <v>20</v>
      </c>
      <c r="E165" s="45" t="s">
        <v>102</v>
      </c>
      <c r="F165" s="10" t="s">
        <v>15</v>
      </c>
      <c r="G165" s="32">
        <v>6000</v>
      </c>
      <c r="H165" s="32">
        <v>9000</v>
      </c>
      <c r="I165" s="32">
        <f>H165-G165</f>
      </c>
      <c r="J165" s="33">
        <f>IF(G165&gt;0,(H165-G165)/G165,0)</f>
      </c>
      <c r="K165" s="34" t="s">
        <v>343</v>
      </c>
    </row>
    <row r="166" ht="22" customHeight="1" spans="1:11" x14ac:dyDescent="0.25">
      <c r="A166" s="35">
        <v>162</v>
      </c>
      <c r="B166" s="36" t="s">
        <v>344</v>
      </c>
      <c r="C166" s="35" t="s">
        <v>37</v>
      </c>
      <c r="D166" s="37" t="s">
        <v>14</v>
      </c>
      <c r="E166" s="44" t="s">
        <v>102</v>
      </c>
      <c r="F166" s="10" t="s">
        <v>15</v>
      </c>
      <c r="G166" s="39">
        <v>56663</v>
      </c>
      <c r="H166" s="39">
        <v>62000</v>
      </c>
      <c r="I166" s="39">
        <f>H166-G166</f>
      </c>
      <c r="J166" s="40">
        <f>IF(G166&gt;0,(H166-G166)/G166,0)</f>
      </c>
      <c r="K166" s="41" t="s">
        <v>345</v>
      </c>
    </row>
    <row r="167" ht="22" customHeight="1" spans="1:11" x14ac:dyDescent="0.25">
      <c r="A167" s="28">
        <v>163</v>
      </c>
      <c r="B167" s="29" t="s">
        <v>346</v>
      </c>
      <c r="C167" s="28" t="s">
        <v>37</v>
      </c>
      <c r="D167" s="30" t="s">
        <v>14</v>
      </c>
      <c r="E167" s="45" t="s">
        <v>102</v>
      </c>
      <c r="F167" s="10" t="s">
        <v>15</v>
      </c>
      <c r="G167" s="32">
        <v>22000</v>
      </c>
      <c r="H167" s="32">
        <v>25000</v>
      </c>
      <c r="I167" s="32">
        <f>H167-G167</f>
      </c>
      <c r="J167" s="33">
        <f>IF(G167&gt;0,(H167-G167)/G167,0)</f>
      </c>
      <c r="K167" s="34" t="s">
        <v>347</v>
      </c>
    </row>
    <row r="168" ht="22" customHeight="1" spans="1:11" x14ac:dyDescent="0.25">
      <c r="A168" s="35">
        <v>164</v>
      </c>
      <c r="B168" s="36" t="s">
        <v>348</v>
      </c>
      <c r="C168" s="35" t="s">
        <v>37</v>
      </c>
      <c r="D168" s="37" t="s">
        <v>14</v>
      </c>
      <c r="E168" s="44" t="s">
        <v>102</v>
      </c>
      <c r="F168" s="10" t="s">
        <v>15</v>
      </c>
      <c r="G168" s="39">
        <v>37000</v>
      </c>
      <c r="H168" s="39">
        <v>40000</v>
      </c>
      <c r="I168" s="39">
        <f>H168-G168</f>
      </c>
      <c r="J168" s="40">
        <f>IF(G168&gt;0,(H168-G168)/G168,0)</f>
      </c>
      <c r="K168" s="41" t="s">
        <v>349</v>
      </c>
    </row>
    <row r="169" ht="22" customHeight="1" spans="1:11" x14ac:dyDescent="0.25">
      <c r="A169" s="28">
        <v>165</v>
      </c>
      <c r="B169" s="29" t="s">
        <v>350</v>
      </c>
      <c r="C169" s="28" t="s">
        <v>37</v>
      </c>
      <c r="D169" s="30" t="s">
        <v>14</v>
      </c>
      <c r="E169" s="45" t="s">
        <v>102</v>
      </c>
      <c r="F169" s="23" t="s">
        <v>21</v>
      </c>
      <c r="G169" s="32">
        <v>24850</v>
      </c>
      <c r="H169" s="32">
        <v>28000</v>
      </c>
      <c r="I169" s="32">
        <f>H169-G169</f>
      </c>
      <c r="J169" s="33">
        <f>IF(G169&gt;0,(H169-G169)/G169,0)</f>
      </c>
      <c r="K169" s="34" t="s">
        <v>351</v>
      </c>
    </row>
    <row r="170" ht="22" customHeight="1" spans="1:11" x14ac:dyDescent="0.25">
      <c r="A170" s="35">
        <v>166</v>
      </c>
      <c r="B170" s="36" t="s">
        <v>352</v>
      </c>
      <c r="C170" s="35" t="s">
        <v>37</v>
      </c>
      <c r="D170" s="37" t="s">
        <v>14</v>
      </c>
      <c r="E170" s="44" t="s">
        <v>102</v>
      </c>
      <c r="F170" s="23" t="s">
        <v>21</v>
      </c>
      <c r="G170" s="39">
        <v>22060</v>
      </c>
      <c r="H170" s="39">
        <v>25000</v>
      </c>
      <c r="I170" s="39">
        <f>H170-G170</f>
      </c>
      <c r="J170" s="40">
        <f>IF(G170&gt;0,(H170-G170)/G170,0)</f>
      </c>
      <c r="K170" s="41" t="s">
        <v>353</v>
      </c>
    </row>
    <row r="171" ht="22" customHeight="1" spans="1:11" x14ac:dyDescent="0.25">
      <c r="A171" s="28">
        <v>167</v>
      </c>
      <c r="B171" s="29" t="s">
        <v>354</v>
      </c>
      <c r="C171" s="28" t="s">
        <v>37</v>
      </c>
      <c r="D171" s="30" t="s">
        <v>14</v>
      </c>
      <c r="E171" s="45" t="s">
        <v>102</v>
      </c>
      <c r="F171" s="10" t="s">
        <v>15</v>
      </c>
      <c r="G171" s="32">
        <v>141225</v>
      </c>
      <c r="H171" s="32">
        <v>153000</v>
      </c>
      <c r="I171" s="32">
        <f>H171-G171</f>
      </c>
      <c r="J171" s="33">
        <f>IF(G171&gt;0,(H171-G171)/G171,0)</f>
      </c>
      <c r="K171" s="34" t="s">
        <v>355</v>
      </c>
    </row>
    <row r="172" ht="22" customHeight="1" spans="1:11" x14ac:dyDescent="0.25">
      <c r="A172" s="35">
        <v>168</v>
      </c>
      <c r="B172" s="36" t="s">
        <v>356</v>
      </c>
      <c r="C172" s="35" t="s">
        <v>37</v>
      </c>
      <c r="D172" s="37" t="s">
        <v>14</v>
      </c>
      <c r="E172" s="44" t="s">
        <v>102</v>
      </c>
      <c r="F172" s="10" t="s">
        <v>15</v>
      </c>
      <c r="G172" s="39">
        <v>51275</v>
      </c>
      <c r="H172" s="39">
        <v>56000</v>
      </c>
      <c r="I172" s="39">
        <f>H172-G172</f>
      </c>
      <c r="J172" s="40">
        <f>IF(G172&gt;0,(H172-G172)/G172,0)</f>
      </c>
      <c r="K172" s="41" t="s">
        <v>357</v>
      </c>
    </row>
    <row r="173" ht="22" customHeight="1" spans="1:11" x14ac:dyDescent="0.25">
      <c r="A173" s="28">
        <v>169</v>
      </c>
      <c r="B173" s="29" t="s">
        <v>358</v>
      </c>
      <c r="C173" s="28" t="s">
        <v>37</v>
      </c>
      <c r="D173" s="30" t="s">
        <v>14</v>
      </c>
      <c r="E173" s="45" t="s">
        <v>102</v>
      </c>
      <c r="F173" s="10" t="s">
        <v>15</v>
      </c>
      <c r="G173" s="32">
        <v>80050</v>
      </c>
      <c r="H173" s="32">
        <v>87000</v>
      </c>
      <c r="I173" s="32">
        <f>H173-G173</f>
      </c>
      <c r="J173" s="33">
        <f>IF(G173&gt;0,(H173-G173)/G173,0)</f>
      </c>
      <c r="K173" s="34" t="s">
        <v>359</v>
      </c>
    </row>
    <row r="174" ht="22" customHeight="1" spans="1:11" x14ac:dyDescent="0.25">
      <c r="A174" s="35">
        <v>170</v>
      </c>
      <c r="B174" s="36" t="s">
        <v>360</v>
      </c>
      <c r="C174" s="35" t="s">
        <v>37</v>
      </c>
      <c r="D174" s="37" t="s">
        <v>14</v>
      </c>
      <c r="E174" s="44" t="s">
        <v>102</v>
      </c>
      <c r="F174" s="10" t="s">
        <v>15</v>
      </c>
      <c r="G174" s="39">
        <v>89875</v>
      </c>
      <c r="H174" s="39">
        <v>98000</v>
      </c>
      <c r="I174" s="39">
        <f>H174-G174</f>
      </c>
      <c r="J174" s="40">
        <f>IF(G174&gt;0,(H174-G174)/G174,0)</f>
      </c>
      <c r="K174" s="41" t="s">
        <v>361</v>
      </c>
    </row>
    <row r="175" ht="22" customHeight="1" spans="1:11" x14ac:dyDescent="0.25">
      <c r="A175" s="28">
        <v>171</v>
      </c>
      <c r="B175" s="29" t="s">
        <v>362</v>
      </c>
      <c r="C175" s="28" t="s">
        <v>37</v>
      </c>
      <c r="D175" s="30" t="s">
        <v>14</v>
      </c>
      <c r="E175" s="45" t="s">
        <v>102</v>
      </c>
      <c r="F175" s="10" t="s">
        <v>15</v>
      </c>
      <c r="G175" s="32">
        <v>36125</v>
      </c>
      <c r="H175" s="32">
        <v>40000</v>
      </c>
      <c r="I175" s="32">
        <f>H175-G175</f>
      </c>
      <c r="J175" s="33">
        <f>IF(G175&gt;0,(H175-G175)/G175,0)</f>
      </c>
      <c r="K175" s="34" t="s">
        <v>363</v>
      </c>
    </row>
    <row r="176" ht="22" customHeight="1" spans="1:11" x14ac:dyDescent="0.25">
      <c r="A176" s="35">
        <v>172</v>
      </c>
      <c r="B176" s="36" t="s">
        <v>364</v>
      </c>
      <c r="C176" s="35" t="s">
        <v>37</v>
      </c>
      <c r="D176" s="37" t="s">
        <v>14</v>
      </c>
      <c r="E176" s="44" t="s">
        <v>102</v>
      </c>
      <c r="F176" s="10" t="s">
        <v>15</v>
      </c>
      <c r="G176" s="39">
        <v>144225</v>
      </c>
      <c r="H176" s="39">
        <v>156000</v>
      </c>
      <c r="I176" s="39">
        <f>H176-G176</f>
      </c>
      <c r="J176" s="40">
        <f>IF(G176&gt;0,(H176-G176)/G176,0)</f>
      </c>
      <c r="K176" s="41" t="s">
        <v>365</v>
      </c>
    </row>
    <row r="177" ht="22" customHeight="1" spans="1:11" x14ac:dyDescent="0.25">
      <c r="A177" s="28">
        <v>173</v>
      </c>
      <c r="B177" s="29" t="s">
        <v>366</v>
      </c>
      <c r="C177" s="28" t="s">
        <v>37</v>
      </c>
      <c r="D177" s="30" t="s">
        <v>14</v>
      </c>
      <c r="E177" s="45" t="s">
        <v>102</v>
      </c>
      <c r="F177" s="10" t="s">
        <v>15</v>
      </c>
      <c r="G177" s="32">
        <v>193225</v>
      </c>
      <c r="H177" s="32">
        <v>209000</v>
      </c>
      <c r="I177" s="32">
        <f>H177-G177</f>
      </c>
      <c r="J177" s="33">
        <f>IF(G177&gt;0,(H177-G177)/G177,0)</f>
      </c>
      <c r="K177" s="34" t="s">
        <v>367</v>
      </c>
    </row>
    <row r="178" ht="22" customHeight="1" spans="1:11" x14ac:dyDescent="0.25">
      <c r="A178" s="35">
        <v>174</v>
      </c>
      <c r="B178" s="36" t="s">
        <v>368</v>
      </c>
      <c r="C178" s="35" t="s">
        <v>37</v>
      </c>
      <c r="D178" s="37" t="s">
        <v>14</v>
      </c>
      <c r="E178" s="44" t="s">
        <v>102</v>
      </c>
      <c r="F178" s="10" t="s">
        <v>15</v>
      </c>
      <c r="G178" s="39">
        <v>54125</v>
      </c>
      <c r="H178" s="39">
        <v>59000</v>
      </c>
      <c r="I178" s="39">
        <f>H178-G178</f>
      </c>
      <c r="J178" s="40">
        <f>IF(G178&gt;0,(H178-G178)/G178,0)</f>
      </c>
      <c r="K178" s="41" t="s">
        <v>369</v>
      </c>
    </row>
    <row r="179" ht="22" customHeight="1" spans="1:11" x14ac:dyDescent="0.25">
      <c r="A179" s="28">
        <v>175</v>
      </c>
      <c r="B179" s="29" t="s">
        <v>370</v>
      </c>
      <c r="C179" s="28" t="s">
        <v>37</v>
      </c>
      <c r="D179" s="30" t="s">
        <v>14</v>
      </c>
      <c r="E179" s="45" t="s">
        <v>102</v>
      </c>
      <c r="F179" s="10" t="s">
        <v>15</v>
      </c>
      <c r="G179" s="32">
        <v>62300</v>
      </c>
      <c r="H179" s="32">
        <v>68000</v>
      </c>
      <c r="I179" s="32">
        <f>H179-G179</f>
      </c>
      <c r="J179" s="33">
        <f>IF(G179&gt;0,(H179-G179)/G179,0)</f>
      </c>
      <c r="K179" s="34" t="s">
        <v>371</v>
      </c>
    </row>
    <row r="180" ht="22" customHeight="1" spans="1:11" x14ac:dyDescent="0.25">
      <c r="A180" s="35">
        <v>176</v>
      </c>
      <c r="B180" s="36" t="s">
        <v>372</v>
      </c>
      <c r="C180" s="35" t="s">
        <v>37</v>
      </c>
      <c r="D180" s="37" t="s">
        <v>14</v>
      </c>
      <c r="E180" s="44" t="s">
        <v>102</v>
      </c>
      <c r="F180" s="23" t="s">
        <v>21</v>
      </c>
      <c r="G180" s="39">
        <v>5705</v>
      </c>
      <c r="H180" s="39">
        <v>9000</v>
      </c>
      <c r="I180" s="39">
        <f>H180-G180</f>
      </c>
      <c r="J180" s="40">
        <f>IF(G180&gt;0,(H180-G180)/G180,0)</f>
      </c>
      <c r="K180" s="41" t="s">
        <v>373</v>
      </c>
    </row>
    <row r="181" ht="22" customHeight="1" spans="1:11" x14ac:dyDescent="0.25">
      <c r="A181" s="28">
        <v>177</v>
      </c>
      <c r="B181" s="29" t="s">
        <v>374</v>
      </c>
      <c r="C181" s="28" t="s">
        <v>37</v>
      </c>
      <c r="D181" s="30" t="s">
        <v>14</v>
      </c>
      <c r="E181" s="45" t="s">
        <v>102</v>
      </c>
      <c r="F181" s="10" t="s">
        <v>15</v>
      </c>
      <c r="G181" s="32">
        <v>6201</v>
      </c>
      <c r="H181" s="32">
        <v>9000</v>
      </c>
      <c r="I181" s="32">
        <f>H181-G181</f>
      </c>
      <c r="J181" s="33">
        <f>IF(G181&gt;0,(H181-G181)/G181,0)</f>
      </c>
      <c r="K181" s="34" t="s">
        <v>375</v>
      </c>
    </row>
    <row r="182" ht="22" customHeight="1" spans="1:11" x14ac:dyDescent="0.25">
      <c r="A182" s="35">
        <v>178</v>
      </c>
      <c r="B182" s="36" t="s">
        <v>376</v>
      </c>
      <c r="C182" s="35" t="s">
        <v>37</v>
      </c>
      <c r="D182" s="37" t="s">
        <v>14</v>
      </c>
      <c r="E182" s="44" t="s">
        <v>102</v>
      </c>
      <c r="F182" s="23" t="s">
        <v>21</v>
      </c>
      <c r="G182" s="39">
        <v>16650</v>
      </c>
      <c r="H182" s="39">
        <v>20000</v>
      </c>
      <c r="I182" s="39">
        <f>H182-G182</f>
      </c>
      <c r="J182" s="40">
        <f>IF(G182&gt;0,(H182-G182)/G182,0)</f>
      </c>
      <c r="K182" s="41" t="s">
        <v>377</v>
      </c>
    </row>
    <row r="183" ht="22" customHeight="1" spans="1:11" x14ac:dyDescent="0.25">
      <c r="A183" s="28">
        <v>179</v>
      </c>
      <c r="B183" s="29" t="s">
        <v>378</v>
      </c>
      <c r="C183" s="28" t="s">
        <v>37</v>
      </c>
      <c r="D183" s="30" t="s">
        <v>14</v>
      </c>
      <c r="E183" s="45" t="s">
        <v>102</v>
      </c>
      <c r="F183" s="10" t="s">
        <v>15</v>
      </c>
      <c r="G183" s="32">
        <v>50224</v>
      </c>
      <c r="H183" s="32">
        <v>55000</v>
      </c>
      <c r="I183" s="32">
        <f>H183-G183</f>
      </c>
      <c r="J183" s="33">
        <f>IF(G183&gt;0,(H183-G183)/G183,0)</f>
      </c>
      <c r="K183" s="34" t="s">
        <v>379</v>
      </c>
    </row>
    <row r="184" ht="22" customHeight="1" spans="1:11" x14ac:dyDescent="0.25">
      <c r="A184" s="35">
        <v>180</v>
      </c>
      <c r="B184" s="36" t="s">
        <v>380</v>
      </c>
      <c r="C184" s="35" t="s">
        <v>37</v>
      </c>
      <c r="D184" s="37" t="s">
        <v>14</v>
      </c>
      <c r="E184" s="44" t="s">
        <v>102</v>
      </c>
      <c r="F184" s="23" t="s">
        <v>21</v>
      </c>
      <c r="G184" s="39">
        <v>11230</v>
      </c>
      <c r="H184" s="39">
        <v>14000</v>
      </c>
      <c r="I184" s="39">
        <f>H184-G184</f>
      </c>
      <c r="J184" s="40">
        <f>IF(G184&gt;0,(H184-G184)/G184,0)</f>
      </c>
      <c r="K184" s="41" t="s">
        <v>381</v>
      </c>
    </row>
    <row r="185" ht="22" customHeight="1" spans="1:11" x14ac:dyDescent="0.25">
      <c r="A185" s="28">
        <v>181</v>
      </c>
      <c r="B185" s="29" t="s">
        <v>382</v>
      </c>
      <c r="C185" s="28" t="s">
        <v>37</v>
      </c>
      <c r="D185" s="30" t="s">
        <v>14</v>
      </c>
      <c r="E185" s="45" t="s">
        <v>102</v>
      </c>
      <c r="F185" s="10" t="s">
        <v>15</v>
      </c>
      <c r="G185" s="32">
        <v>12255</v>
      </c>
      <c r="H185" s="32">
        <v>15000</v>
      </c>
      <c r="I185" s="32">
        <f>H185-G185</f>
      </c>
      <c r="J185" s="33">
        <f>IF(G185&gt;0,(H185-G185)/G185,0)</f>
      </c>
      <c r="K185" s="34" t="s">
        <v>383</v>
      </c>
    </row>
    <row r="186" ht="22" customHeight="1" spans="1:11" x14ac:dyDescent="0.25">
      <c r="A186" s="35">
        <v>182</v>
      </c>
      <c r="B186" s="36" t="s">
        <v>384</v>
      </c>
      <c r="C186" s="35" t="s">
        <v>37</v>
      </c>
      <c r="D186" s="37" t="s">
        <v>14</v>
      </c>
      <c r="E186" s="44" t="s">
        <v>102</v>
      </c>
      <c r="F186" s="23" t="s">
        <v>21</v>
      </c>
      <c r="G186" s="39">
        <v>24710</v>
      </c>
      <c r="H186" s="39">
        <v>28000</v>
      </c>
      <c r="I186" s="39">
        <f>H186-G186</f>
      </c>
      <c r="J186" s="40">
        <f>IF(G186&gt;0,(H186-G186)/G186,0)</f>
      </c>
      <c r="K186" s="41" t="s">
        <v>385</v>
      </c>
    </row>
    <row r="187" ht="22" customHeight="1" spans="1:11" x14ac:dyDescent="0.25">
      <c r="A187" s="28">
        <v>183</v>
      </c>
      <c r="B187" s="29" t="s">
        <v>386</v>
      </c>
      <c r="C187" s="28" t="s">
        <v>37</v>
      </c>
      <c r="D187" s="30" t="s">
        <v>14</v>
      </c>
      <c r="E187" s="45" t="s">
        <v>102</v>
      </c>
      <c r="F187" s="10" t="s">
        <v>15</v>
      </c>
      <c r="G187" s="32">
        <v>28225</v>
      </c>
      <c r="H187" s="32">
        <v>31000</v>
      </c>
      <c r="I187" s="32">
        <f>H187-G187</f>
      </c>
      <c r="J187" s="33">
        <f>IF(G187&gt;0,(H187-G187)/G187,0)</f>
      </c>
      <c r="K187" s="34" t="s">
        <v>387</v>
      </c>
    </row>
    <row r="188" ht="22" customHeight="1" spans="1:11" x14ac:dyDescent="0.25">
      <c r="A188" s="35">
        <v>184</v>
      </c>
      <c r="B188" s="36" t="s">
        <v>388</v>
      </c>
      <c r="C188" s="35" t="s">
        <v>37</v>
      </c>
      <c r="D188" s="37" t="s">
        <v>14</v>
      </c>
      <c r="E188" s="44" t="s">
        <v>102</v>
      </c>
      <c r="F188" s="23" t="s">
        <v>21</v>
      </c>
      <c r="G188" s="39">
        <v>67850</v>
      </c>
      <c r="H188" s="39">
        <v>74000</v>
      </c>
      <c r="I188" s="39">
        <f>H188-G188</f>
      </c>
      <c r="J188" s="40">
        <f>IF(G188&gt;0,(H188-G188)/G188,0)</f>
      </c>
      <c r="K188" s="41" t="s">
        <v>389</v>
      </c>
    </row>
    <row r="189" ht="22" customHeight="1" spans="1:11" x14ac:dyDescent="0.25">
      <c r="A189" s="28">
        <v>185</v>
      </c>
      <c r="B189" s="29" t="s">
        <v>390</v>
      </c>
      <c r="C189" s="28" t="s">
        <v>37</v>
      </c>
      <c r="D189" s="30" t="s">
        <v>14</v>
      </c>
      <c r="E189" s="45" t="s">
        <v>102</v>
      </c>
      <c r="F189" s="23" t="s">
        <v>21</v>
      </c>
      <c r="G189" s="32">
        <v>70250</v>
      </c>
      <c r="H189" s="32">
        <v>76000</v>
      </c>
      <c r="I189" s="32">
        <f>H189-G189</f>
      </c>
      <c r="J189" s="33">
        <f>IF(G189&gt;0,(H189-G189)/G189,0)</f>
      </c>
      <c r="K189" s="34" t="s">
        <v>391</v>
      </c>
    </row>
    <row r="190" ht="22" customHeight="1" spans="1:11" x14ac:dyDescent="0.25">
      <c r="A190" s="35">
        <v>186</v>
      </c>
      <c r="B190" s="36" t="s">
        <v>392</v>
      </c>
      <c r="C190" s="35" t="s">
        <v>37</v>
      </c>
      <c r="D190" s="37" t="s">
        <v>14</v>
      </c>
      <c r="E190" s="44" t="s">
        <v>102</v>
      </c>
      <c r="F190" s="10" t="s">
        <v>15</v>
      </c>
      <c r="G190" s="39">
        <v>51000</v>
      </c>
      <c r="H190" s="39">
        <v>56000</v>
      </c>
      <c r="I190" s="39">
        <f>H190-G190</f>
      </c>
      <c r="J190" s="40">
        <f>IF(G190&gt;0,(H190-G190)/G190,0)</f>
      </c>
      <c r="K190" s="41" t="s">
        <v>393</v>
      </c>
    </row>
    <row r="191" ht="22" customHeight="1" spans="1:11" x14ac:dyDescent="0.25">
      <c r="A191" s="28">
        <v>187</v>
      </c>
      <c r="B191" s="29" t="s">
        <v>394</v>
      </c>
      <c r="C191" s="28" t="s">
        <v>37</v>
      </c>
      <c r="D191" s="30" t="s">
        <v>14</v>
      </c>
      <c r="E191" s="45" t="s">
        <v>102</v>
      </c>
      <c r="F191" s="10" t="s">
        <v>15</v>
      </c>
      <c r="G191" s="32">
        <v>75000</v>
      </c>
      <c r="H191" s="32">
        <v>81000</v>
      </c>
      <c r="I191" s="32">
        <f>H191-G191</f>
      </c>
      <c r="J191" s="33">
        <f>IF(G191&gt;0,(H191-G191)/G191,0)</f>
      </c>
      <c r="K191" s="34" t="s">
        <v>395</v>
      </c>
    </row>
    <row r="192" ht="22" customHeight="1" spans="1:11" x14ac:dyDescent="0.25">
      <c r="A192" s="35">
        <v>188</v>
      </c>
      <c r="B192" s="36" t="s">
        <v>396</v>
      </c>
      <c r="C192" s="35" t="s">
        <v>37</v>
      </c>
      <c r="D192" s="37" t="s">
        <v>14</v>
      </c>
      <c r="E192" s="44" t="s">
        <v>102</v>
      </c>
      <c r="F192" s="10" t="s">
        <v>15</v>
      </c>
      <c r="G192" s="39">
        <v>55000</v>
      </c>
      <c r="H192" s="39">
        <v>60000</v>
      </c>
      <c r="I192" s="39">
        <f>H192-G192</f>
      </c>
      <c r="J192" s="40">
        <f>IF(G192&gt;0,(H192-G192)/G192,0)</f>
      </c>
      <c r="K192" s="41" t="s">
        <v>397</v>
      </c>
    </row>
    <row r="193" ht="22" customHeight="1" spans="1:11" x14ac:dyDescent="0.25">
      <c r="A193" s="28">
        <v>189</v>
      </c>
      <c r="B193" s="29" t="s">
        <v>398</v>
      </c>
      <c r="C193" s="28" t="s">
        <v>37</v>
      </c>
      <c r="D193" s="42" t="s">
        <v>40</v>
      </c>
      <c r="E193" s="45" t="s">
        <v>102</v>
      </c>
      <c r="F193" s="10" t="s">
        <v>15</v>
      </c>
      <c r="G193" s="32">
        <v>50000</v>
      </c>
      <c r="H193" s="32">
        <v>54000</v>
      </c>
      <c r="I193" s="32">
        <f>H193-G193</f>
      </c>
      <c r="J193" s="33">
        <f>IF(G193&gt;0,(H193-G193)/G193,0)</f>
      </c>
      <c r="K193" s="34" t="s">
        <v>399</v>
      </c>
    </row>
    <row r="194" ht="22" customHeight="1" spans="1:11" x14ac:dyDescent="0.25">
      <c r="A194" s="35">
        <v>190</v>
      </c>
      <c r="B194" s="36" t="s">
        <v>400</v>
      </c>
      <c r="C194" s="35" t="s">
        <v>37</v>
      </c>
      <c r="D194" s="43" t="s">
        <v>40</v>
      </c>
      <c r="E194" s="44" t="s">
        <v>102</v>
      </c>
      <c r="F194" s="10" t="s">
        <v>15</v>
      </c>
      <c r="G194" s="39">
        <v>45000</v>
      </c>
      <c r="H194" s="39">
        <v>49000</v>
      </c>
      <c r="I194" s="39">
        <f>H194-G194</f>
      </c>
      <c r="J194" s="40">
        <f>IF(G194&gt;0,(H194-G194)/G194,0)</f>
      </c>
      <c r="K194" s="41" t="s">
        <v>401</v>
      </c>
    </row>
    <row r="195" ht="22" customHeight="1" spans="1:11" x14ac:dyDescent="0.25">
      <c r="A195" s="28">
        <v>191</v>
      </c>
      <c r="B195" s="29" t="s">
        <v>402</v>
      </c>
      <c r="C195" s="28" t="s">
        <v>37</v>
      </c>
      <c r="D195" s="30" t="s">
        <v>14</v>
      </c>
      <c r="E195" s="45" t="s">
        <v>102</v>
      </c>
      <c r="F195" s="10" t="s">
        <v>15</v>
      </c>
      <c r="G195" s="32">
        <v>24000</v>
      </c>
      <c r="H195" s="32">
        <v>27000</v>
      </c>
      <c r="I195" s="32">
        <f>H195-G195</f>
      </c>
      <c r="J195" s="33">
        <f>IF(G195&gt;0,(H195-G195)/G195,0)</f>
      </c>
      <c r="K195" s="34" t="s">
        <v>403</v>
      </c>
    </row>
    <row r="196" ht="22" customHeight="1" spans="1:11" x14ac:dyDescent="0.25">
      <c r="A196" s="35">
        <v>192</v>
      </c>
      <c r="B196" s="36" t="s">
        <v>404</v>
      </c>
      <c r="C196" s="35" t="s">
        <v>37</v>
      </c>
      <c r="D196" s="37" t="s">
        <v>14</v>
      </c>
      <c r="E196" s="44" t="s">
        <v>102</v>
      </c>
      <c r="F196" s="10" t="s">
        <v>15</v>
      </c>
      <c r="G196" s="39">
        <v>11000</v>
      </c>
      <c r="H196" s="39">
        <v>14000</v>
      </c>
      <c r="I196" s="39">
        <f>H196-G196</f>
      </c>
      <c r="J196" s="40">
        <f>IF(G196&gt;0,(H196-G196)/G196,0)</f>
      </c>
      <c r="K196" s="41" t="s">
        <v>405</v>
      </c>
    </row>
    <row r="197" ht="22" customHeight="1" spans="1:11" x14ac:dyDescent="0.25">
      <c r="A197" s="28">
        <v>193</v>
      </c>
      <c r="B197" s="29" t="s">
        <v>406</v>
      </c>
      <c r="C197" s="28" t="s">
        <v>37</v>
      </c>
      <c r="D197" s="42" t="s">
        <v>40</v>
      </c>
      <c r="E197" s="45" t="s">
        <v>102</v>
      </c>
      <c r="F197" s="10" t="s">
        <v>15</v>
      </c>
      <c r="G197" s="32">
        <v>11000</v>
      </c>
      <c r="H197" s="32">
        <v>14000</v>
      </c>
      <c r="I197" s="32">
        <f>H197-G197</f>
      </c>
      <c r="J197" s="33">
        <f>IF(G197&gt;0,(H197-G197)/G197,0)</f>
      </c>
      <c r="K197" s="34" t="s">
        <v>407</v>
      </c>
    </row>
    <row r="198" ht="22" customHeight="1" spans="1:11" x14ac:dyDescent="0.25">
      <c r="A198" s="35">
        <v>194</v>
      </c>
      <c r="B198" s="36" t="s">
        <v>408</v>
      </c>
      <c r="C198" s="35" t="s">
        <v>37</v>
      </c>
      <c r="D198" s="43" t="s">
        <v>40</v>
      </c>
      <c r="E198" s="44" t="s">
        <v>102</v>
      </c>
      <c r="F198" s="10" t="s">
        <v>15</v>
      </c>
      <c r="G198" s="39">
        <v>6000</v>
      </c>
      <c r="H198" s="39">
        <v>9000</v>
      </c>
      <c r="I198" s="39">
        <f>H198-G198</f>
      </c>
      <c r="J198" s="40">
        <f>IF(G198&gt;0,(H198-G198)/G198,0)</f>
      </c>
      <c r="K198" s="41" t="s">
        <v>409</v>
      </c>
    </row>
    <row r="199" ht="22" customHeight="1" spans="1:11" x14ac:dyDescent="0.25">
      <c r="A199" s="28">
        <v>195</v>
      </c>
      <c r="B199" s="29" t="s">
        <v>410</v>
      </c>
      <c r="C199" s="28" t="s">
        <v>37</v>
      </c>
      <c r="D199" s="42" t="s">
        <v>40</v>
      </c>
      <c r="E199" s="45" t="s">
        <v>102</v>
      </c>
      <c r="F199" s="10" t="s">
        <v>15</v>
      </c>
      <c r="G199" s="32">
        <v>13000</v>
      </c>
      <c r="H199" s="32">
        <v>16000</v>
      </c>
      <c r="I199" s="32">
        <f>H199-G199</f>
      </c>
      <c r="J199" s="33">
        <f>IF(G199&gt;0,(H199-G199)/G199,0)</f>
      </c>
      <c r="K199" s="34" t="s">
        <v>411</v>
      </c>
    </row>
    <row r="200" ht="22" customHeight="1" spans="1:11" x14ac:dyDescent="0.25">
      <c r="A200" s="35">
        <v>196</v>
      </c>
      <c r="B200" s="36" t="s">
        <v>412</v>
      </c>
      <c r="C200" s="35" t="s">
        <v>37</v>
      </c>
      <c r="D200" s="37" t="s">
        <v>14</v>
      </c>
      <c r="E200" s="44" t="s">
        <v>102</v>
      </c>
      <c r="F200" s="10" t="s">
        <v>15</v>
      </c>
      <c r="G200" s="39">
        <v>8000</v>
      </c>
      <c r="H200" s="39">
        <v>11000</v>
      </c>
      <c r="I200" s="39">
        <f>H200-G200</f>
      </c>
      <c r="J200" s="40">
        <f>IF(G200&gt;0,(H200-G200)/G200,0)</f>
      </c>
      <c r="K200" s="41" t="s">
        <v>413</v>
      </c>
    </row>
    <row r="201" ht="22" customHeight="1" spans="1:11" x14ac:dyDescent="0.25">
      <c r="A201" s="28">
        <v>197</v>
      </c>
      <c r="B201" s="29" t="s">
        <v>414</v>
      </c>
      <c r="C201" s="28" t="s">
        <v>37</v>
      </c>
      <c r="D201" s="30" t="s">
        <v>14</v>
      </c>
      <c r="E201" s="45" t="s">
        <v>102</v>
      </c>
      <c r="F201" s="10" t="s">
        <v>15</v>
      </c>
      <c r="G201" s="32">
        <v>15000</v>
      </c>
      <c r="H201" s="32">
        <v>18000</v>
      </c>
      <c r="I201" s="32">
        <f>H201-G201</f>
      </c>
      <c r="J201" s="33">
        <f>IF(G201&gt;0,(H201-G201)/G201,0)</f>
      </c>
      <c r="K201" s="34" t="s">
        <v>415</v>
      </c>
    </row>
    <row r="202" ht="22" customHeight="1" spans="1:11" x14ac:dyDescent="0.25">
      <c r="A202" s="35">
        <v>198</v>
      </c>
      <c r="B202" s="36" t="s">
        <v>416</v>
      </c>
      <c r="C202" s="35" t="s">
        <v>37</v>
      </c>
      <c r="D202" s="37" t="s">
        <v>14</v>
      </c>
      <c r="E202" s="44" t="s">
        <v>102</v>
      </c>
      <c r="F202" s="10" t="s">
        <v>15</v>
      </c>
      <c r="G202" s="39">
        <v>26000</v>
      </c>
      <c r="H202" s="39">
        <v>29000</v>
      </c>
      <c r="I202" s="39">
        <f>H202-G202</f>
      </c>
      <c r="J202" s="40">
        <f>IF(G202&gt;0,(H202-G202)/G202,0)</f>
      </c>
      <c r="K202" s="41" t="s">
        <v>417</v>
      </c>
    </row>
    <row r="203" ht="22" customHeight="1" spans="1:11" x14ac:dyDescent="0.25">
      <c r="A203" s="28">
        <v>199</v>
      </c>
      <c r="B203" s="29" t="s">
        <v>418</v>
      </c>
      <c r="C203" s="28" t="s">
        <v>37</v>
      </c>
      <c r="D203" s="30" t="s">
        <v>14</v>
      </c>
      <c r="E203" s="45" t="s">
        <v>102</v>
      </c>
      <c r="F203" s="10" t="s">
        <v>15</v>
      </c>
      <c r="G203" s="32">
        <v>8000</v>
      </c>
      <c r="H203" s="32">
        <v>11000</v>
      </c>
      <c r="I203" s="32">
        <f>H203-G203</f>
      </c>
      <c r="J203" s="33">
        <f>IF(G203&gt;0,(H203-G203)/G203,0)</f>
      </c>
      <c r="K203" s="34" t="s">
        <v>419</v>
      </c>
    </row>
    <row r="204" ht="22" customHeight="1" spans="1:11" x14ac:dyDescent="0.25">
      <c r="A204" s="35">
        <v>200</v>
      </c>
      <c r="B204" s="36" t="s">
        <v>420</v>
      </c>
      <c r="C204" s="35" t="s">
        <v>37</v>
      </c>
      <c r="D204" s="37" t="s">
        <v>14</v>
      </c>
      <c r="E204" s="44" t="s">
        <v>102</v>
      </c>
      <c r="F204" s="10" t="s">
        <v>15</v>
      </c>
      <c r="G204" s="39">
        <v>60000</v>
      </c>
      <c r="H204" s="39">
        <v>65000</v>
      </c>
      <c r="I204" s="39">
        <f>H204-G204</f>
      </c>
      <c r="J204" s="40">
        <f>IF(G204&gt;0,(H204-G204)/G204,0)</f>
      </c>
      <c r="K204" s="41" t="s">
        <v>421</v>
      </c>
    </row>
    <row r="205" ht="22" customHeight="1" spans="1:11" x14ac:dyDescent="0.25">
      <c r="A205" s="28">
        <v>201</v>
      </c>
      <c r="B205" s="29" t="s">
        <v>422</v>
      </c>
      <c r="C205" s="28" t="s">
        <v>37</v>
      </c>
      <c r="D205" s="42" t="s">
        <v>40</v>
      </c>
      <c r="E205" s="45" t="s">
        <v>102</v>
      </c>
      <c r="F205" s="10" t="s">
        <v>15</v>
      </c>
      <c r="G205" s="32">
        <v>30000</v>
      </c>
      <c r="H205" s="32">
        <v>33000</v>
      </c>
      <c r="I205" s="32">
        <f>H205-G205</f>
      </c>
      <c r="J205" s="33">
        <f>IF(G205&gt;0,(H205-G205)/G205,0)</f>
      </c>
      <c r="K205" s="34" t="s">
        <v>423</v>
      </c>
    </row>
    <row r="206" ht="22" customHeight="1" spans="1:11" x14ac:dyDescent="0.25">
      <c r="A206" s="35">
        <v>202</v>
      </c>
      <c r="B206" s="36" t="s">
        <v>424</v>
      </c>
      <c r="C206" s="35" t="s">
        <v>37</v>
      </c>
      <c r="D206" s="37" t="s">
        <v>14</v>
      </c>
      <c r="E206" s="44" t="s">
        <v>102</v>
      </c>
      <c r="F206" s="10" t="s">
        <v>15</v>
      </c>
      <c r="G206" s="39">
        <v>35000</v>
      </c>
      <c r="H206" s="39">
        <v>38000</v>
      </c>
      <c r="I206" s="39">
        <f>H206-G206</f>
      </c>
      <c r="J206" s="40">
        <f>IF(G206&gt;0,(H206-G206)/G206,0)</f>
      </c>
      <c r="K206" s="41" t="s">
        <v>425</v>
      </c>
    </row>
    <row r="207" ht="22" customHeight="1" spans="1:11" x14ac:dyDescent="0.25">
      <c r="A207" s="28">
        <v>203</v>
      </c>
      <c r="B207" s="29" t="s">
        <v>426</v>
      </c>
      <c r="C207" s="28" t="s">
        <v>37</v>
      </c>
      <c r="D207" s="42" t="s">
        <v>40</v>
      </c>
      <c r="E207" s="45" t="s">
        <v>102</v>
      </c>
      <c r="F207" s="10" t="s">
        <v>15</v>
      </c>
      <c r="G207" s="32">
        <v>18000</v>
      </c>
      <c r="H207" s="32">
        <v>21000</v>
      </c>
      <c r="I207" s="32">
        <f>H207-G207</f>
      </c>
      <c r="J207" s="33">
        <f>IF(G207&gt;0,(H207-G207)/G207,0)</f>
      </c>
      <c r="K207" s="34" t="s">
        <v>427</v>
      </c>
    </row>
    <row r="208" ht="22" customHeight="1" spans="1:11" x14ac:dyDescent="0.25">
      <c r="A208" s="35">
        <v>204</v>
      </c>
      <c r="B208" s="36" t="s">
        <v>428</v>
      </c>
      <c r="C208" s="35" t="s">
        <v>37</v>
      </c>
      <c r="D208" s="43" t="s">
        <v>40</v>
      </c>
      <c r="E208" s="44" t="s">
        <v>102</v>
      </c>
      <c r="F208" s="10" t="s">
        <v>15</v>
      </c>
      <c r="G208" s="39">
        <v>17000</v>
      </c>
      <c r="H208" s="39">
        <v>20000</v>
      </c>
      <c r="I208" s="39">
        <f>H208-G208</f>
      </c>
      <c r="J208" s="40">
        <f>IF(G208&gt;0,(H208-G208)/G208,0)</f>
      </c>
      <c r="K208" s="41" t="s">
        <v>429</v>
      </c>
    </row>
    <row r="209" ht="22" customHeight="1" spans="1:11" x14ac:dyDescent="0.25">
      <c r="A209" s="28">
        <v>205</v>
      </c>
      <c r="B209" s="29" t="s">
        <v>430</v>
      </c>
      <c r="C209" s="28" t="s">
        <v>37</v>
      </c>
      <c r="D209" s="42" t="s">
        <v>40</v>
      </c>
      <c r="E209" s="45" t="s">
        <v>102</v>
      </c>
      <c r="F209" s="10" t="s">
        <v>15</v>
      </c>
      <c r="G209" s="32">
        <v>15500</v>
      </c>
      <c r="H209" s="32">
        <v>18000</v>
      </c>
      <c r="I209" s="32">
        <f>H209-G209</f>
      </c>
      <c r="J209" s="33">
        <f>IF(G209&gt;0,(H209-G209)/G209,0)</f>
      </c>
      <c r="K209" s="34" t="s">
        <v>431</v>
      </c>
    </row>
    <row r="210" ht="22" customHeight="1" spans="1:11" x14ac:dyDescent="0.25">
      <c r="A210" s="35">
        <v>206</v>
      </c>
      <c r="B210" s="36" t="s">
        <v>432</v>
      </c>
      <c r="C210" s="35" t="s">
        <v>37</v>
      </c>
      <c r="D210" s="37" t="s">
        <v>14</v>
      </c>
      <c r="E210" s="44" t="s">
        <v>102</v>
      </c>
      <c r="F210" s="10" t="s">
        <v>15</v>
      </c>
      <c r="G210" s="39">
        <v>34000</v>
      </c>
      <c r="H210" s="39">
        <v>37000</v>
      </c>
      <c r="I210" s="39">
        <f>H210-G210</f>
      </c>
      <c r="J210" s="40">
        <f>IF(G210&gt;0,(H210-G210)/G210,0)</f>
      </c>
      <c r="K210" s="41" t="s">
        <v>433</v>
      </c>
    </row>
    <row r="211" ht="22" customHeight="1" spans="1:11" x14ac:dyDescent="0.25">
      <c r="A211" s="28">
        <v>207</v>
      </c>
      <c r="B211" s="29" t="s">
        <v>434</v>
      </c>
      <c r="C211" s="28" t="s">
        <v>37</v>
      </c>
      <c r="D211" s="42" t="s">
        <v>40</v>
      </c>
      <c r="E211" s="45" t="s">
        <v>102</v>
      </c>
      <c r="F211" s="10" t="s">
        <v>15</v>
      </c>
      <c r="G211" s="32">
        <v>20000</v>
      </c>
      <c r="H211" s="32">
        <v>23000</v>
      </c>
      <c r="I211" s="32">
        <f>H211-G211</f>
      </c>
      <c r="J211" s="33">
        <f>IF(G211&gt;0,(H211-G211)/G211,0)</f>
      </c>
      <c r="K211" s="34" t="s">
        <v>435</v>
      </c>
    </row>
    <row r="212" ht="22" customHeight="1" spans="1:11" x14ac:dyDescent="0.25">
      <c r="A212" s="35">
        <v>208</v>
      </c>
      <c r="B212" s="36" t="s">
        <v>436</v>
      </c>
      <c r="C212" s="35" t="s">
        <v>37</v>
      </c>
      <c r="D212" s="43" t="s">
        <v>40</v>
      </c>
      <c r="E212" s="44" t="s">
        <v>102</v>
      </c>
      <c r="F212" s="10" t="s">
        <v>15</v>
      </c>
      <c r="G212" s="39">
        <v>17500</v>
      </c>
      <c r="H212" s="39">
        <v>20000</v>
      </c>
      <c r="I212" s="39">
        <f>H212-G212</f>
      </c>
      <c r="J212" s="40">
        <f>IF(G212&gt;0,(H212-G212)/G212,0)</f>
      </c>
      <c r="K212" s="41" t="s">
        <v>437</v>
      </c>
    </row>
    <row r="213" ht="22" customHeight="1" spans="1:11" x14ac:dyDescent="0.25">
      <c r="A213" s="28">
        <v>209</v>
      </c>
      <c r="B213" s="29" t="s">
        <v>438</v>
      </c>
      <c r="C213" s="28" t="s">
        <v>37</v>
      </c>
      <c r="D213" s="30" t="s">
        <v>14</v>
      </c>
      <c r="E213" s="45" t="s">
        <v>102</v>
      </c>
      <c r="F213" s="10" t="s">
        <v>15</v>
      </c>
      <c r="G213" s="32">
        <v>8000</v>
      </c>
      <c r="H213" s="32">
        <v>11000</v>
      </c>
      <c r="I213" s="32">
        <f>H213-G213</f>
      </c>
      <c r="J213" s="33">
        <f>IF(G213&gt;0,(H213-G213)/G213,0)</f>
      </c>
      <c r="K213" s="34" t="s">
        <v>439</v>
      </c>
    </row>
    <row r="214" ht="22" customHeight="1" spans="1:11" x14ac:dyDescent="0.25">
      <c r="A214" s="35">
        <v>210</v>
      </c>
      <c r="B214" s="36" t="s">
        <v>440</v>
      </c>
      <c r="C214" s="35" t="s">
        <v>37</v>
      </c>
      <c r="D214" s="37" t="s">
        <v>14</v>
      </c>
      <c r="E214" s="44" t="s">
        <v>102</v>
      </c>
      <c r="F214" s="10" t="s">
        <v>15</v>
      </c>
      <c r="G214" s="39">
        <v>15000</v>
      </c>
      <c r="H214" s="39">
        <v>18000</v>
      </c>
      <c r="I214" s="39">
        <f>H214-G214</f>
      </c>
      <c r="J214" s="40">
        <f>IF(G214&gt;0,(H214-G214)/G214,0)</f>
      </c>
      <c r="K214" s="41" t="s">
        <v>441</v>
      </c>
    </row>
    <row r="215" ht="22" customHeight="1" spans="1:11" x14ac:dyDescent="0.25">
      <c r="A215" s="28">
        <v>211</v>
      </c>
      <c r="B215" s="29" t="s">
        <v>442</v>
      </c>
      <c r="C215" s="28" t="s">
        <v>37</v>
      </c>
      <c r="D215" s="30" t="s">
        <v>14</v>
      </c>
      <c r="E215" s="45" t="s">
        <v>102</v>
      </c>
      <c r="F215" s="10" t="s">
        <v>15</v>
      </c>
      <c r="G215" s="32">
        <v>60000</v>
      </c>
      <c r="H215" s="32">
        <v>65000</v>
      </c>
      <c r="I215" s="32">
        <f>H215-G215</f>
      </c>
      <c r="J215" s="33">
        <f>IF(G215&gt;0,(H215-G215)/G215,0)</f>
      </c>
      <c r="K215" s="34" t="s">
        <v>443</v>
      </c>
    </row>
    <row r="216" ht="22" customHeight="1" spans="1:11" x14ac:dyDescent="0.25">
      <c r="A216" s="35">
        <v>212</v>
      </c>
      <c r="B216" s="36" t="s">
        <v>444</v>
      </c>
      <c r="C216" s="35" t="s">
        <v>37</v>
      </c>
      <c r="D216" s="43" t="s">
        <v>40</v>
      </c>
      <c r="E216" s="44" t="s">
        <v>102</v>
      </c>
      <c r="F216" s="10" t="s">
        <v>15</v>
      </c>
      <c r="G216" s="39">
        <v>21000</v>
      </c>
      <c r="H216" s="39">
        <v>24000</v>
      </c>
      <c r="I216" s="39">
        <f>H216-G216</f>
      </c>
      <c r="J216" s="40">
        <f>IF(G216&gt;0,(H216-G216)/G216,0)</f>
      </c>
      <c r="K216" s="41" t="s">
        <v>445</v>
      </c>
    </row>
    <row r="217" ht="22" customHeight="1" spans="1:11" x14ac:dyDescent="0.25">
      <c r="A217" s="28">
        <v>213</v>
      </c>
      <c r="B217" s="29" t="s">
        <v>446</v>
      </c>
      <c r="C217" s="28" t="s">
        <v>37</v>
      </c>
      <c r="D217" s="30" t="s">
        <v>14</v>
      </c>
      <c r="E217" s="45" t="s">
        <v>102</v>
      </c>
      <c r="F217" s="10" t="s">
        <v>15</v>
      </c>
      <c r="G217" s="32">
        <v>38375</v>
      </c>
      <c r="H217" s="32">
        <v>42000</v>
      </c>
      <c r="I217" s="32">
        <f>H217-G217</f>
      </c>
      <c r="J217" s="33">
        <f>IF(G217&gt;0,(H217-G217)/G217,0)</f>
      </c>
      <c r="K217" s="34" t="s">
        <v>447</v>
      </c>
    </row>
    <row r="218" ht="22" customHeight="1" spans="1:11" x14ac:dyDescent="0.25">
      <c r="A218" s="35">
        <v>214</v>
      </c>
      <c r="B218" s="36" t="s">
        <v>448</v>
      </c>
      <c r="C218" s="35" t="s">
        <v>37</v>
      </c>
      <c r="D218" s="37" t="s">
        <v>14</v>
      </c>
      <c r="E218" s="44" t="s">
        <v>102</v>
      </c>
      <c r="F218" s="23" t="s">
        <v>21</v>
      </c>
      <c r="G218" s="39">
        <v>145326</v>
      </c>
      <c r="H218" s="39">
        <v>157000</v>
      </c>
      <c r="I218" s="39">
        <f>H218-G218</f>
      </c>
      <c r="J218" s="40">
        <f>IF(G218&gt;0,(H218-G218)/G218,0)</f>
      </c>
      <c r="K218" s="41" t="s">
        <v>449</v>
      </c>
    </row>
    <row r="219" ht="22" customHeight="1" spans="1:11" x14ac:dyDescent="0.25">
      <c r="A219" s="28">
        <v>215</v>
      </c>
      <c r="B219" s="29" t="s">
        <v>450</v>
      </c>
      <c r="C219" s="28" t="s">
        <v>37</v>
      </c>
      <c r="D219" s="30" t="s">
        <v>14</v>
      </c>
      <c r="E219" s="45" t="s">
        <v>102</v>
      </c>
      <c r="F219" s="10" t="s">
        <v>15</v>
      </c>
      <c r="G219" s="32">
        <v>29650</v>
      </c>
      <c r="H219" s="32">
        <v>33000</v>
      </c>
      <c r="I219" s="32">
        <f>H219-G219</f>
      </c>
      <c r="J219" s="33">
        <f>IF(G219&gt;0,(H219-G219)/G219,0)</f>
      </c>
      <c r="K219" s="34" t="s">
        <v>451</v>
      </c>
    </row>
    <row r="220" ht="22" customHeight="1" spans="1:11" x14ac:dyDescent="0.25">
      <c r="A220" s="35">
        <v>216</v>
      </c>
      <c r="B220" s="36" t="s">
        <v>452</v>
      </c>
      <c r="C220" s="35" t="s">
        <v>37</v>
      </c>
      <c r="D220" s="37" t="s">
        <v>14</v>
      </c>
      <c r="E220" s="44" t="s">
        <v>102</v>
      </c>
      <c r="F220" s="23" t="s">
        <v>21</v>
      </c>
      <c r="G220" s="39">
        <v>40020</v>
      </c>
      <c r="H220" s="39">
        <v>44000</v>
      </c>
      <c r="I220" s="39">
        <f>H220-G220</f>
      </c>
      <c r="J220" s="40">
        <f>IF(G220&gt;0,(H220-G220)/G220,0)</f>
      </c>
      <c r="K220" s="41" t="s">
        <v>453</v>
      </c>
    </row>
    <row r="221" ht="22" customHeight="1" spans="1:11" x14ac:dyDescent="0.25">
      <c r="A221" s="28">
        <v>217</v>
      </c>
      <c r="B221" s="29" t="s">
        <v>454</v>
      </c>
      <c r="C221" s="28" t="s">
        <v>37</v>
      </c>
      <c r="D221" s="30" t="s">
        <v>14</v>
      </c>
      <c r="E221" s="45" t="s">
        <v>102</v>
      </c>
      <c r="F221" s="10" t="s">
        <v>15</v>
      </c>
      <c r="G221" s="32">
        <v>352200</v>
      </c>
      <c r="H221" s="32">
        <v>381000</v>
      </c>
      <c r="I221" s="32">
        <f>H221-G221</f>
      </c>
      <c r="J221" s="33">
        <f>IF(G221&gt;0,(H221-G221)/G221,0)</f>
      </c>
      <c r="K221" s="34" t="s">
        <v>455</v>
      </c>
    </row>
    <row r="222" ht="22" customHeight="1" spans="1:11" x14ac:dyDescent="0.25">
      <c r="A222" s="35">
        <v>218</v>
      </c>
      <c r="B222" s="36" t="s">
        <v>456</v>
      </c>
      <c r="C222" s="35" t="s">
        <v>37</v>
      </c>
      <c r="D222" s="37" t="s">
        <v>14</v>
      </c>
      <c r="E222" s="44" t="s">
        <v>102</v>
      </c>
      <c r="F222" s="10" t="s">
        <v>15</v>
      </c>
      <c r="G222" s="39">
        <v>43400</v>
      </c>
      <c r="H222" s="39">
        <v>47000</v>
      </c>
      <c r="I222" s="39">
        <f>H222-G222</f>
      </c>
      <c r="J222" s="40">
        <f>IF(G222&gt;0,(H222-G222)/G222,0)</f>
      </c>
      <c r="K222" s="41" t="s">
        <v>457</v>
      </c>
    </row>
    <row r="223" ht="22" customHeight="1" spans="1:11" x14ac:dyDescent="0.25">
      <c r="A223" s="28">
        <v>219</v>
      </c>
      <c r="B223" s="29" t="s">
        <v>458</v>
      </c>
      <c r="C223" s="28" t="s">
        <v>37</v>
      </c>
      <c r="D223" s="30" t="s">
        <v>14</v>
      </c>
      <c r="E223" s="45" t="s">
        <v>102</v>
      </c>
      <c r="F223" s="10" t="s">
        <v>15</v>
      </c>
      <c r="G223" s="32">
        <v>20360</v>
      </c>
      <c r="H223" s="32">
        <v>23000</v>
      </c>
      <c r="I223" s="32">
        <f>H223-G223</f>
      </c>
      <c r="J223" s="33">
        <f>IF(G223&gt;0,(H223-G223)/G223,0)</f>
      </c>
      <c r="K223" s="34" t="s">
        <v>459</v>
      </c>
    </row>
    <row r="224" ht="22" customHeight="1" spans="1:11" x14ac:dyDescent="0.25">
      <c r="A224" s="35">
        <v>220</v>
      </c>
      <c r="B224" s="36" t="s">
        <v>460</v>
      </c>
      <c r="C224" s="35" t="s">
        <v>37</v>
      </c>
      <c r="D224" s="43" t="s">
        <v>40</v>
      </c>
      <c r="E224" s="44" t="s">
        <v>102</v>
      </c>
      <c r="F224" s="10" t="s">
        <v>15</v>
      </c>
      <c r="G224" s="39">
        <v>6500</v>
      </c>
      <c r="H224" s="39">
        <v>9000</v>
      </c>
      <c r="I224" s="39">
        <f>H224-G224</f>
      </c>
      <c r="J224" s="40">
        <f>IF(G224&gt;0,(H224-G224)/G224,0)</f>
      </c>
      <c r="K224" s="41" t="s">
        <v>461</v>
      </c>
    </row>
    <row r="225" ht="22" customHeight="1" spans="1:11" x14ac:dyDescent="0.25">
      <c r="A225" s="28">
        <v>221</v>
      </c>
      <c r="B225" s="29" t="s">
        <v>462</v>
      </c>
      <c r="C225" s="28" t="s">
        <v>37</v>
      </c>
      <c r="D225" s="42" t="s">
        <v>40</v>
      </c>
      <c r="E225" s="45" t="s">
        <v>102</v>
      </c>
      <c r="F225" s="10" t="s">
        <v>15</v>
      </c>
      <c r="G225" s="32">
        <v>20000</v>
      </c>
      <c r="H225" s="32">
        <v>23000</v>
      </c>
      <c r="I225" s="32">
        <f>H225-G225</f>
      </c>
      <c r="J225" s="33">
        <f>IF(G225&gt;0,(H225-G225)/G225,0)</f>
      </c>
      <c r="K225" s="34" t="s">
        <v>463</v>
      </c>
    </row>
    <row r="226" ht="22" customHeight="1" spans="1:11" x14ac:dyDescent="0.25">
      <c r="A226" s="35">
        <v>222</v>
      </c>
      <c r="B226" s="36" t="s">
        <v>464</v>
      </c>
      <c r="C226" s="35" t="s">
        <v>37</v>
      </c>
      <c r="D226" s="43" t="s">
        <v>40</v>
      </c>
      <c r="E226" s="44" t="s">
        <v>102</v>
      </c>
      <c r="F226" s="10" t="s">
        <v>15</v>
      </c>
      <c r="G226" s="39">
        <v>17000</v>
      </c>
      <c r="H226" s="39">
        <v>20000</v>
      </c>
      <c r="I226" s="39">
        <f>H226-G226</f>
      </c>
      <c r="J226" s="40">
        <f>IF(G226&gt;0,(H226-G226)/G226,0)</f>
      </c>
      <c r="K226" s="41" t="s">
        <v>465</v>
      </c>
    </row>
    <row r="227" ht="22" customHeight="1" spans="1:11" x14ac:dyDescent="0.25">
      <c r="A227" s="28">
        <v>223</v>
      </c>
      <c r="B227" s="29" t="s">
        <v>466</v>
      </c>
      <c r="C227" s="28" t="s">
        <v>37</v>
      </c>
      <c r="D227" s="42" t="s">
        <v>40</v>
      </c>
      <c r="E227" s="45" t="s">
        <v>102</v>
      </c>
      <c r="F227" s="10" t="s">
        <v>15</v>
      </c>
      <c r="G227" s="32">
        <v>13000</v>
      </c>
      <c r="H227" s="32">
        <v>16000</v>
      </c>
      <c r="I227" s="32">
        <f>H227-G227</f>
      </c>
      <c r="J227" s="33">
        <f>IF(G227&gt;0,(H227-G227)/G227,0)</f>
      </c>
      <c r="K227" s="34" t="s">
        <v>467</v>
      </c>
    </row>
    <row r="228" ht="22" customHeight="1" spans="1:11" x14ac:dyDescent="0.25">
      <c r="A228" s="35">
        <v>224</v>
      </c>
      <c r="B228" s="36" t="s">
        <v>468</v>
      </c>
      <c r="C228" s="35" t="s">
        <v>37</v>
      </c>
      <c r="D228" s="37" t="s">
        <v>14</v>
      </c>
      <c r="E228" s="44" t="s">
        <v>102</v>
      </c>
      <c r="F228" s="10" t="s">
        <v>15</v>
      </c>
      <c r="G228" s="39">
        <v>60025</v>
      </c>
      <c r="H228" s="39">
        <v>65000</v>
      </c>
      <c r="I228" s="39">
        <f>H228-G228</f>
      </c>
      <c r="J228" s="40">
        <f>IF(G228&gt;0,(H228-G228)/G228,0)</f>
      </c>
      <c r="K228" s="41" t="s">
        <v>469</v>
      </c>
    </row>
    <row r="229" ht="22" customHeight="1" spans="1:11" x14ac:dyDescent="0.25">
      <c r="A229" s="28">
        <v>225</v>
      </c>
      <c r="B229" s="29" t="s">
        <v>470</v>
      </c>
      <c r="C229" s="28" t="s">
        <v>37</v>
      </c>
      <c r="D229" s="30" t="s">
        <v>14</v>
      </c>
      <c r="E229" s="45" t="s">
        <v>102</v>
      </c>
      <c r="F229" s="10" t="s">
        <v>15</v>
      </c>
      <c r="G229" s="32">
        <v>50025</v>
      </c>
      <c r="H229" s="32">
        <v>55000</v>
      </c>
      <c r="I229" s="32">
        <f>H229-G229</f>
      </c>
      <c r="J229" s="33">
        <f>IF(G229&gt;0,(H229-G229)/G229,0)</f>
      </c>
      <c r="K229" s="34" t="s">
        <v>471</v>
      </c>
    </row>
    <row r="230" ht="22" customHeight="1" spans="1:11" x14ac:dyDescent="0.25">
      <c r="A230" s="35">
        <v>226</v>
      </c>
      <c r="B230" s="36" t="s">
        <v>472</v>
      </c>
      <c r="C230" s="35" t="s">
        <v>37</v>
      </c>
      <c r="D230" s="37" t="s">
        <v>14</v>
      </c>
      <c r="E230" s="44" t="s">
        <v>102</v>
      </c>
      <c r="F230" s="10" t="s">
        <v>15</v>
      </c>
      <c r="G230" s="39">
        <v>17755</v>
      </c>
      <c r="H230" s="39">
        <v>21000</v>
      </c>
      <c r="I230" s="39">
        <f>H230-G230</f>
      </c>
      <c r="J230" s="40">
        <f>IF(G230&gt;0,(H230-G230)/G230,0)</f>
      </c>
      <c r="K230" s="41" t="s">
        <v>473</v>
      </c>
    </row>
    <row r="231" ht="22" customHeight="1" spans="1:11" x14ac:dyDescent="0.25">
      <c r="A231" s="28">
        <v>227</v>
      </c>
      <c r="B231" s="29" t="s">
        <v>474</v>
      </c>
      <c r="C231" s="28" t="s">
        <v>37</v>
      </c>
      <c r="D231" s="30" t="s">
        <v>14</v>
      </c>
      <c r="E231" s="45" t="s">
        <v>102</v>
      </c>
      <c r="F231" s="10" t="s">
        <v>15</v>
      </c>
      <c r="G231" s="32">
        <v>12740</v>
      </c>
      <c r="H231" s="32">
        <v>16000</v>
      </c>
      <c r="I231" s="32">
        <f>H231-G231</f>
      </c>
      <c r="J231" s="33">
        <f>IF(G231&gt;0,(H231-G231)/G231,0)</f>
      </c>
      <c r="K231" s="34" t="s">
        <v>475</v>
      </c>
    </row>
    <row r="232" ht="22" customHeight="1" spans="1:11" x14ac:dyDescent="0.25">
      <c r="A232" s="35">
        <v>228</v>
      </c>
      <c r="B232" s="36" t="s">
        <v>476</v>
      </c>
      <c r="C232" s="35" t="s">
        <v>37</v>
      </c>
      <c r="D232" s="37" t="s">
        <v>14</v>
      </c>
      <c r="E232" s="44" t="s">
        <v>102</v>
      </c>
      <c r="F232" s="10" t="s">
        <v>15</v>
      </c>
      <c r="G232" s="39">
        <v>10000</v>
      </c>
      <c r="H232" s="39">
        <v>13000</v>
      </c>
      <c r="I232" s="39">
        <f>H232-G232</f>
      </c>
      <c r="J232" s="40">
        <f>IF(G232&gt;0,(H232-G232)/G232,0)</f>
      </c>
      <c r="K232" s="41" t="s">
        <v>477</v>
      </c>
    </row>
    <row r="233" ht="22" customHeight="1" spans="1:11" x14ac:dyDescent="0.25">
      <c r="A233" s="28">
        <v>229</v>
      </c>
      <c r="B233" s="29" t="s">
        <v>478</v>
      </c>
      <c r="C233" s="28" t="s">
        <v>37</v>
      </c>
      <c r="D233" s="30" t="s">
        <v>14</v>
      </c>
      <c r="E233" s="45" t="s">
        <v>102</v>
      </c>
      <c r="F233" s="10" t="s">
        <v>15</v>
      </c>
      <c r="G233" s="32">
        <v>1708</v>
      </c>
      <c r="H233" s="32">
        <v>5000</v>
      </c>
      <c r="I233" s="32">
        <f>H233-G233</f>
      </c>
      <c r="J233" s="33">
        <f>IF(G233&gt;0,(H233-G233)/G233,0)</f>
      </c>
      <c r="K233" s="34" t="s">
        <v>479</v>
      </c>
    </row>
    <row r="234" ht="22" customHeight="1" spans="1:11" x14ac:dyDescent="0.25">
      <c r="A234" s="35">
        <v>230</v>
      </c>
      <c r="B234" s="36" t="s">
        <v>480</v>
      </c>
      <c r="C234" s="35" t="s">
        <v>37</v>
      </c>
      <c r="D234" s="37" t="s">
        <v>14</v>
      </c>
      <c r="E234" s="44" t="s">
        <v>102</v>
      </c>
      <c r="F234" s="10" t="s">
        <v>15</v>
      </c>
      <c r="G234" s="39">
        <v>65000</v>
      </c>
      <c r="H234" s="39">
        <v>71000</v>
      </c>
      <c r="I234" s="39">
        <f>H234-G234</f>
      </c>
      <c r="J234" s="40">
        <f>IF(G234&gt;0,(H234-G234)/G234,0)</f>
      </c>
      <c r="K234" s="41" t="s">
        <v>481</v>
      </c>
    </row>
    <row r="235" ht="22" customHeight="1" spans="1:11" x14ac:dyDescent="0.25">
      <c r="A235" s="28">
        <v>231</v>
      </c>
      <c r="B235" s="29" t="s">
        <v>482</v>
      </c>
      <c r="C235" s="28" t="s">
        <v>37</v>
      </c>
      <c r="D235" s="30" t="s">
        <v>14</v>
      </c>
      <c r="E235" s="45" t="s">
        <v>102</v>
      </c>
      <c r="F235" s="10" t="s">
        <v>15</v>
      </c>
      <c r="G235" s="32">
        <v>31250</v>
      </c>
      <c r="H235" s="32">
        <v>34000</v>
      </c>
      <c r="I235" s="32">
        <f>H235-G235</f>
      </c>
      <c r="J235" s="33">
        <f>IF(G235&gt;0,(H235-G235)/G235,0)</f>
      </c>
      <c r="K235" s="34" t="s">
        <v>483</v>
      </c>
    </row>
    <row r="236" ht="22" customHeight="1" spans="1:11" x14ac:dyDescent="0.25">
      <c r="A236" s="35">
        <v>232</v>
      </c>
      <c r="B236" s="36" t="s">
        <v>484</v>
      </c>
      <c r="C236" s="35" t="s">
        <v>37</v>
      </c>
      <c r="D236" s="37" t="s">
        <v>14</v>
      </c>
      <c r="E236" s="44" t="s">
        <v>102</v>
      </c>
      <c r="F236" s="10" t="s">
        <v>15</v>
      </c>
      <c r="G236" s="39">
        <v>50000</v>
      </c>
      <c r="H236" s="39">
        <v>54000</v>
      </c>
      <c r="I236" s="39">
        <f>H236-G236</f>
      </c>
      <c r="J236" s="40">
        <f>IF(G236&gt;0,(H236-G236)/G236,0)</f>
      </c>
      <c r="K236" s="41" t="s">
        <v>485</v>
      </c>
    </row>
  </sheetData>
  <autoFilter ref="A4:K236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J24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4" customWidth="1"/>
    <col min="3" max="3" width="18" customWidth="1"/>
    <col min="4" max="4" width="22" customWidth="1"/>
    <col min="5" max="5" width="16" customWidth="1"/>
    <col min="6" max="8" width="18" customWidth="1"/>
    <col min="9" max="9" width="14" customWidth="1"/>
    <col min="10" max="10" width="26" customWidth="1"/>
  </cols>
  <sheetData>
    <row r="1" ht="36" customHeight="1" spans="1:10" x14ac:dyDescent="0.25">
      <c r="A1" s="1" t="s">
        <v>486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487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28" customHeight="1" spans="1:10" x14ac:dyDescent="0.25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4" t="s">
        <v>11</v>
      </c>
    </row>
    <row r="5" ht="22" customHeight="1" spans="1:10" x14ac:dyDescent="0.25">
      <c r="A5" s="28">
        <v>1</v>
      </c>
      <c r="B5" s="29" t="s">
        <v>177</v>
      </c>
      <c r="C5" s="28" t="s">
        <v>37</v>
      </c>
      <c r="D5" s="30" t="s">
        <v>14</v>
      </c>
      <c r="E5" s="10" t="s">
        <v>15</v>
      </c>
      <c r="F5" s="32">
        <v>34520</v>
      </c>
      <c r="G5" s="32">
        <v>38000</v>
      </c>
      <c r="H5" s="32">
        <f>G5-F5</f>
      </c>
      <c r="I5" s="33">
        <f>IF(F5&gt;0,(G5-F5)/F5,0)</f>
      </c>
      <c r="J5" s="34" t="s">
        <v>178</v>
      </c>
    </row>
    <row r="6" ht="22" customHeight="1" spans="1:10" x14ac:dyDescent="0.25">
      <c r="A6" s="35">
        <v>2</v>
      </c>
      <c r="B6" s="36" t="s">
        <v>179</v>
      </c>
      <c r="C6" s="35" t="s">
        <v>37</v>
      </c>
      <c r="D6" s="37" t="s">
        <v>14</v>
      </c>
      <c r="E6" s="23" t="s">
        <v>21</v>
      </c>
      <c r="F6" s="39">
        <v>73325</v>
      </c>
      <c r="G6" s="39">
        <v>80000</v>
      </c>
      <c r="H6" s="39">
        <f>G6-F6</f>
      </c>
      <c r="I6" s="40">
        <f>IF(F6&gt;0,(G6-F6)/F6,0)</f>
      </c>
      <c r="J6" s="41" t="s">
        <v>180</v>
      </c>
    </row>
    <row r="7" ht="22" customHeight="1" spans="1:10" x14ac:dyDescent="0.25">
      <c r="A7" s="28">
        <v>3</v>
      </c>
      <c r="B7" s="29" t="s">
        <v>181</v>
      </c>
      <c r="C7" s="28" t="s">
        <v>37</v>
      </c>
      <c r="D7" s="30" t="s">
        <v>14</v>
      </c>
      <c r="E7" s="23" t="s">
        <v>21</v>
      </c>
      <c r="F7" s="32">
        <v>240725</v>
      </c>
      <c r="G7" s="32">
        <v>260000</v>
      </c>
      <c r="H7" s="32">
        <f>G7-F7</f>
      </c>
      <c r="I7" s="33">
        <f>IF(F7&gt;0,(G7-F7)/F7,0)</f>
      </c>
      <c r="J7" s="34" t="s">
        <v>182</v>
      </c>
    </row>
    <row r="8" ht="22" customHeight="1" spans="1:10" x14ac:dyDescent="0.25">
      <c r="A8" s="35">
        <v>4</v>
      </c>
      <c r="B8" s="36" t="s">
        <v>183</v>
      </c>
      <c r="C8" s="35" t="s">
        <v>37</v>
      </c>
      <c r="D8" s="37" t="s">
        <v>14</v>
      </c>
      <c r="E8" s="23" t="s">
        <v>21</v>
      </c>
      <c r="F8" s="39">
        <v>282840</v>
      </c>
      <c r="G8" s="39">
        <v>306000</v>
      </c>
      <c r="H8" s="39">
        <f>G8-F8</f>
      </c>
      <c r="I8" s="40">
        <f>IF(F8&gt;0,(G8-F8)/F8,0)</f>
      </c>
      <c r="J8" s="41" t="s">
        <v>184</v>
      </c>
    </row>
    <row r="9" ht="22" customHeight="1" spans="1:10" x14ac:dyDescent="0.25">
      <c r="A9" s="28">
        <v>5</v>
      </c>
      <c r="B9" s="29" t="s">
        <v>185</v>
      </c>
      <c r="C9" s="28" t="s">
        <v>37</v>
      </c>
      <c r="D9" s="30" t="s">
        <v>14</v>
      </c>
      <c r="E9" s="23" t="s">
        <v>21</v>
      </c>
      <c r="F9" s="32">
        <v>707740</v>
      </c>
      <c r="G9" s="32">
        <v>765000</v>
      </c>
      <c r="H9" s="32">
        <f>G9-F9</f>
      </c>
      <c r="I9" s="33">
        <f>IF(F9&gt;0,(G9-F9)/F9,0)</f>
      </c>
      <c r="J9" s="34" t="s">
        <v>186</v>
      </c>
    </row>
    <row r="10" ht="22" customHeight="1" spans="1:10" x14ac:dyDescent="0.25">
      <c r="A10" s="35">
        <v>6</v>
      </c>
      <c r="B10" s="36" t="s">
        <v>187</v>
      </c>
      <c r="C10" s="35" t="s">
        <v>37</v>
      </c>
      <c r="D10" s="37" t="s">
        <v>14</v>
      </c>
      <c r="E10" s="23" t="s">
        <v>21</v>
      </c>
      <c r="F10" s="39">
        <v>486490</v>
      </c>
      <c r="G10" s="39">
        <v>526000</v>
      </c>
      <c r="H10" s="39">
        <f>G10-F10</f>
      </c>
      <c r="I10" s="40">
        <f>IF(F10&gt;0,(G10-F10)/F10,0)</f>
      </c>
      <c r="J10" s="41" t="s">
        <v>188</v>
      </c>
    </row>
    <row r="11" ht="22" customHeight="1" spans="1:10" x14ac:dyDescent="0.25">
      <c r="A11" s="28">
        <v>7</v>
      </c>
      <c r="B11" s="29" t="s">
        <v>189</v>
      </c>
      <c r="C11" s="28" t="s">
        <v>37</v>
      </c>
      <c r="D11" s="30" t="s">
        <v>14</v>
      </c>
      <c r="E11" s="23" t="s">
        <v>21</v>
      </c>
      <c r="F11" s="32">
        <v>353640</v>
      </c>
      <c r="G11" s="32">
        <v>382000</v>
      </c>
      <c r="H11" s="32">
        <f>G11-F11</f>
      </c>
      <c r="I11" s="33">
        <f>IF(F11&gt;0,(G11-F11)/F11,0)</f>
      </c>
      <c r="J11" s="34" t="s">
        <v>190</v>
      </c>
    </row>
    <row r="12" ht="22" customHeight="1" spans="1:10" x14ac:dyDescent="0.25">
      <c r="A12" s="35">
        <v>8</v>
      </c>
      <c r="B12" s="36" t="s">
        <v>191</v>
      </c>
      <c r="C12" s="35" t="s">
        <v>37</v>
      </c>
      <c r="D12" s="37" t="s">
        <v>14</v>
      </c>
      <c r="E12" s="23" t="s">
        <v>21</v>
      </c>
      <c r="F12" s="39">
        <v>47480</v>
      </c>
      <c r="G12" s="39">
        <v>52000</v>
      </c>
      <c r="H12" s="39">
        <f>G12-F12</f>
      </c>
      <c r="I12" s="40">
        <f>IF(F12&gt;0,(G12-F12)/F12,0)</f>
      </c>
      <c r="J12" s="41" t="s">
        <v>192</v>
      </c>
    </row>
    <row r="13" ht="22" customHeight="1" spans="1:10" x14ac:dyDescent="0.25">
      <c r="A13" s="28">
        <v>9</v>
      </c>
      <c r="B13" s="29" t="s">
        <v>193</v>
      </c>
      <c r="C13" s="28" t="s">
        <v>37</v>
      </c>
      <c r="D13" s="30" t="s">
        <v>14</v>
      </c>
      <c r="E13" s="10" t="s">
        <v>15</v>
      </c>
      <c r="F13" s="32">
        <v>22715</v>
      </c>
      <c r="G13" s="32">
        <v>26000</v>
      </c>
      <c r="H13" s="32">
        <f>G13-F13</f>
      </c>
      <c r="I13" s="33">
        <f>IF(F13&gt;0,(G13-F13)/F13,0)</f>
      </c>
      <c r="J13" s="34" t="s">
        <v>194</v>
      </c>
    </row>
    <row r="14" ht="22" customHeight="1" spans="1:10" x14ac:dyDescent="0.25">
      <c r="A14" s="35">
        <v>10</v>
      </c>
      <c r="B14" s="36" t="s">
        <v>195</v>
      </c>
      <c r="C14" s="35" t="s">
        <v>37</v>
      </c>
      <c r="D14" s="37" t="s">
        <v>14</v>
      </c>
      <c r="E14" s="23" t="s">
        <v>21</v>
      </c>
      <c r="F14" s="39">
        <v>163585</v>
      </c>
      <c r="G14" s="39">
        <v>177000</v>
      </c>
      <c r="H14" s="39">
        <f>G14-F14</f>
      </c>
      <c r="I14" s="40">
        <f>IF(F14&gt;0,(G14-F14)/F14,0)</f>
      </c>
      <c r="J14" s="41" t="s">
        <v>196</v>
      </c>
    </row>
    <row r="15" ht="22" customHeight="1" spans="1:10" x14ac:dyDescent="0.25">
      <c r="A15" s="28">
        <v>11</v>
      </c>
      <c r="B15" s="29" t="s">
        <v>197</v>
      </c>
      <c r="C15" s="28" t="s">
        <v>37</v>
      </c>
      <c r="D15" s="30" t="s">
        <v>14</v>
      </c>
      <c r="E15" s="23" t="s">
        <v>21</v>
      </c>
      <c r="F15" s="32">
        <v>481875</v>
      </c>
      <c r="G15" s="32">
        <v>521000</v>
      </c>
      <c r="H15" s="32">
        <f>G15-F15</f>
      </c>
      <c r="I15" s="33">
        <f>IF(F15&gt;0,(G15-F15)/F15,0)</f>
      </c>
      <c r="J15" s="34" t="s">
        <v>198</v>
      </c>
    </row>
    <row r="16" ht="22" customHeight="1" spans="1:10" x14ac:dyDescent="0.25">
      <c r="A16" s="35">
        <v>12</v>
      </c>
      <c r="B16" s="36" t="s">
        <v>199</v>
      </c>
      <c r="C16" s="35" t="s">
        <v>37</v>
      </c>
      <c r="D16" s="37" t="s">
        <v>14</v>
      </c>
      <c r="E16" s="23" t="s">
        <v>21</v>
      </c>
      <c r="F16" s="39">
        <v>739000</v>
      </c>
      <c r="G16" s="39">
        <v>799000</v>
      </c>
      <c r="H16" s="39">
        <f>G16-F16</f>
      </c>
      <c r="I16" s="40">
        <f>IF(F16&gt;0,(G16-F16)/F16,0)</f>
      </c>
      <c r="J16" s="41" t="s">
        <v>200</v>
      </c>
    </row>
    <row r="17" ht="22" customHeight="1" spans="1:10" x14ac:dyDescent="0.25">
      <c r="A17" s="28">
        <v>13</v>
      </c>
      <c r="B17" s="29" t="s">
        <v>201</v>
      </c>
      <c r="C17" s="28" t="s">
        <v>37</v>
      </c>
      <c r="D17" s="30" t="s">
        <v>14</v>
      </c>
      <c r="E17" s="23" t="s">
        <v>21</v>
      </c>
      <c r="F17" s="32">
        <v>1236950</v>
      </c>
      <c r="G17" s="32">
        <v>1336000</v>
      </c>
      <c r="H17" s="32">
        <f>G17-F17</f>
      </c>
      <c r="I17" s="33">
        <f>IF(F17&gt;0,(G17-F17)/F17,0)</f>
      </c>
      <c r="J17" s="34" t="s">
        <v>202</v>
      </c>
    </row>
    <row r="18" ht="22" customHeight="1" spans="1:10" x14ac:dyDescent="0.25">
      <c r="A18" s="35">
        <v>14</v>
      </c>
      <c r="B18" s="36" t="s">
        <v>203</v>
      </c>
      <c r="C18" s="35" t="s">
        <v>37</v>
      </c>
      <c r="D18" s="37" t="s">
        <v>14</v>
      </c>
      <c r="E18" s="10" t="s">
        <v>15</v>
      </c>
      <c r="F18" s="39">
        <v>120825</v>
      </c>
      <c r="G18" s="39">
        <v>131000</v>
      </c>
      <c r="H18" s="39">
        <f>G18-F18</f>
      </c>
      <c r="I18" s="40">
        <f>IF(F18&gt;0,(G18-F18)/F18,0)</f>
      </c>
      <c r="J18" s="41" t="s">
        <v>204</v>
      </c>
    </row>
    <row r="19" ht="22" customHeight="1" spans="1:10" x14ac:dyDescent="0.25">
      <c r="A19" s="28">
        <v>15</v>
      </c>
      <c r="B19" s="29" t="s">
        <v>205</v>
      </c>
      <c r="C19" s="28" t="s">
        <v>37</v>
      </c>
      <c r="D19" s="30" t="s">
        <v>14</v>
      </c>
      <c r="E19" s="23" t="s">
        <v>21</v>
      </c>
      <c r="F19" s="32">
        <v>46425</v>
      </c>
      <c r="G19" s="32">
        <v>51000</v>
      </c>
      <c r="H19" s="32">
        <f>G19-F19</f>
      </c>
      <c r="I19" s="33">
        <f>IF(F19&gt;0,(G19-F19)/F19,0)</f>
      </c>
      <c r="J19" s="34" t="s">
        <v>206</v>
      </c>
    </row>
    <row r="20" ht="22" customHeight="1" spans="1:10" x14ac:dyDescent="0.25">
      <c r="A20" s="35">
        <v>16</v>
      </c>
      <c r="B20" s="36" t="s">
        <v>207</v>
      </c>
      <c r="C20" s="35" t="s">
        <v>37</v>
      </c>
      <c r="D20" s="37" t="s">
        <v>14</v>
      </c>
      <c r="E20" s="23" t="s">
        <v>21</v>
      </c>
      <c r="F20" s="39">
        <v>9850</v>
      </c>
      <c r="G20" s="39">
        <v>13000</v>
      </c>
      <c r="H20" s="39">
        <f>G20-F20</f>
      </c>
      <c r="I20" s="40">
        <f>IF(F20&gt;0,(G20-F20)/F20,0)</f>
      </c>
      <c r="J20" s="41" t="s">
        <v>208</v>
      </c>
    </row>
    <row r="21" ht="22" customHeight="1" spans="1:10" x14ac:dyDescent="0.25">
      <c r="A21" s="28">
        <v>17</v>
      </c>
      <c r="B21" s="29" t="s">
        <v>209</v>
      </c>
      <c r="C21" s="28" t="s">
        <v>37</v>
      </c>
      <c r="D21" s="30" t="s">
        <v>14</v>
      </c>
      <c r="E21" s="23" t="s">
        <v>21</v>
      </c>
      <c r="F21" s="32">
        <v>96700</v>
      </c>
      <c r="G21" s="32">
        <v>105000</v>
      </c>
      <c r="H21" s="32">
        <f>G21-F21</f>
      </c>
      <c r="I21" s="33">
        <f>IF(F21&gt;0,(G21-F21)/F21,0)</f>
      </c>
      <c r="J21" s="34" t="s">
        <v>210</v>
      </c>
    </row>
    <row r="22" ht="22" customHeight="1" spans="1:10" x14ac:dyDescent="0.25">
      <c r="A22" s="35">
        <v>18</v>
      </c>
      <c r="B22" s="36" t="s">
        <v>211</v>
      </c>
      <c r="C22" s="35" t="s">
        <v>37</v>
      </c>
      <c r="D22" s="37" t="s">
        <v>14</v>
      </c>
      <c r="E22" s="23" t="s">
        <v>21</v>
      </c>
      <c r="F22" s="39">
        <v>120825</v>
      </c>
      <c r="G22" s="39">
        <v>131000</v>
      </c>
      <c r="H22" s="39">
        <f>G22-F22</f>
      </c>
      <c r="I22" s="40">
        <f>IF(F22&gt;0,(G22-F22)/F22,0)</f>
      </c>
      <c r="J22" s="41" t="s">
        <v>212</v>
      </c>
    </row>
    <row r="23" ht="22" customHeight="1" spans="1:10" x14ac:dyDescent="0.25">
      <c r="A23" s="28">
        <v>19</v>
      </c>
      <c r="B23" s="29" t="s">
        <v>213</v>
      </c>
      <c r="C23" s="28" t="s">
        <v>37</v>
      </c>
      <c r="D23" s="30" t="s">
        <v>14</v>
      </c>
      <c r="E23" s="23" t="s">
        <v>21</v>
      </c>
      <c r="F23" s="32">
        <v>14825</v>
      </c>
      <c r="G23" s="32">
        <v>18000</v>
      </c>
      <c r="H23" s="32">
        <f>G23-F23</f>
      </c>
      <c r="I23" s="33">
        <f>IF(F23&gt;0,(G23-F23)/F23,0)</f>
      </c>
      <c r="J23" s="34" t="s">
        <v>214</v>
      </c>
    </row>
    <row r="24" ht="22" customHeight="1" spans="1:10" x14ac:dyDescent="0.25">
      <c r="A24" s="35">
        <v>20</v>
      </c>
      <c r="B24" s="36" t="s">
        <v>215</v>
      </c>
      <c r="C24" s="35" t="s">
        <v>37</v>
      </c>
      <c r="D24" s="37" t="s">
        <v>14</v>
      </c>
      <c r="E24" s="23" t="s">
        <v>21</v>
      </c>
      <c r="F24" s="39">
        <v>144950</v>
      </c>
      <c r="G24" s="39">
        <v>157000</v>
      </c>
      <c r="H24" s="39">
        <f>G24-F24</f>
      </c>
      <c r="I24" s="40">
        <f>IF(F24&gt;0,(G24-F24)/F24,0)</f>
      </c>
      <c r="J24" s="41" t="s">
        <v>216</v>
      </c>
    </row>
    <row r="25" ht="22" customHeight="1" spans="1:10" x14ac:dyDescent="0.25">
      <c r="A25" s="28">
        <v>21</v>
      </c>
      <c r="B25" s="29" t="s">
        <v>217</v>
      </c>
      <c r="C25" s="28" t="s">
        <v>37</v>
      </c>
      <c r="D25" s="30" t="s">
        <v>14</v>
      </c>
      <c r="E25" s="23" t="s">
        <v>21</v>
      </c>
      <c r="F25" s="32">
        <v>173900</v>
      </c>
      <c r="G25" s="32">
        <v>188000</v>
      </c>
      <c r="H25" s="32">
        <f>G25-F25</f>
      </c>
      <c r="I25" s="33">
        <f>IF(F25&gt;0,(G25-F25)/F25,0)</f>
      </c>
      <c r="J25" s="34" t="s">
        <v>218</v>
      </c>
    </row>
    <row r="26" ht="22" customHeight="1" spans="1:10" x14ac:dyDescent="0.25">
      <c r="A26" s="35">
        <v>22</v>
      </c>
      <c r="B26" s="36" t="s">
        <v>219</v>
      </c>
      <c r="C26" s="35" t="s">
        <v>37</v>
      </c>
      <c r="D26" s="37" t="s">
        <v>14</v>
      </c>
      <c r="E26" s="23" t="s">
        <v>21</v>
      </c>
      <c r="F26" s="39">
        <v>19700</v>
      </c>
      <c r="G26" s="39">
        <v>23000</v>
      </c>
      <c r="H26" s="39">
        <f>G26-F26</f>
      </c>
      <c r="I26" s="40">
        <f>IF(F26&gt;0,(G26-F26)/F26,0)</f>
      </c>
      <c r="J26" s="41" t="s">
        <v>220</v>
      </c>
    </row>
    <row r="27" ht="22" customHeight="1" spans="1:10" x14ac:dyDescent="0.25">
      <c r="A27" s="28">
        <v>23</v>
      </c>
      <c r="B27" s="29" t="s">
        <v>221</v>
      </c>
      <c r="C27" s="28" t="s">
        <v>37</v>
      </c>
      <c r="D27" s="30" t="s">
        <v>14</v>
      </c>
      <c r="E27" s="23" t="s">
        <v>21</v>
      </c>
      <c r="F27" s="32">
        <v>193200</v>
      </c>
      <c r="G27" s="32">
        <v>209000</v>
      </c>
      <c r="H27" s="32">
        <f>G27-F27</f>
      </c>
      <c r="I27" s="33">
        <f>IF(F27&gt;0,(G27-F27)/F27,0)</f>
      </c>
      <c r="J27" s="34" t="s">
        <v>222</v>
      </c>
    </row>
    <row r="28" ht="22" customHeight="1" spans="1:10" x14ac:dyDescent="0.25">
      <c r="A28" s="35">
        <v>24</v>
      </c>
      <c r="B28" s="36" t="s">
        <v>223</v>
      </c>
      <c r="C28" s="35" t="s">
        <v>37</v>
      </c>
      <c r="D28" s="37" t="s">
        <v>14</v>
      </c>
      <c r="E28" s="23" t="s">
        <v>21</v>
      </c>
      <c r="F28" s="39">
        <v>24575</v>
      </c>
      <c r="G28" s="39">
        <v>28000</v>
      </c>
      <c r="H28" s="39">
        <f>G28-F28</f>
      </c>
      <c r="I28" s="40">
        <f>IF(F28&gt;0,(G28-F28)/F28,0)</f>
      </c>
      <c r="J28" s="41" t="s">
        <v>224</v>
      </c>
    </row>
    <row r="29" ht="22" customHeight="1" spans="1:10" x14ac:dyDescent="0.25">
      <c r="A29" s="28">
        <v>25</v>
      </c>
      <c r="B29" s="29" t="s">
        <v>225</v>
      </c>
      <c r="C29" s="28" t="s">
        <v>37</v>
      </c>
      <c r="D29" s="30" t="s">
        <v>14</v>
      </c>
      <c r="E29" s="23" t="s">
        <v>21</v>
      </c>
      <c r="F29" s="32">
        <v>241450</v>
      </c>
      <c r="G29" s="32">
        <v>261000</v>
      </c>
      <c r="H29" s="32">
        <f>G29-F29</f>
      </c>
      <c r="I29" s="33">
        <f>IF(F29&gt;0,(G29-F29)/F29,0)</f>
      </c>
      <c r="J29" s="34" t="s">
        <v>226</v>
      </c>
    </row>
    <row r="30" ht="22" customHeight="1" spans="1:10" x14ac:dyDescent="0.25">
      <c r="A30" s="35">
        <v>26</v>
      </c>
      <c r="B30" s="36" t="s">
        <v>227</v>
      </c>
      <c r="C30" s="35" t="s">
        <v>37</v>
      </c>
      <c r="D30" s="37" t="s">
        <v>14</v>
      </c>
      <c r="E30" s="23" t="s">
        <v>21</v>
      </c>
      <c r="F30" s="39">
        <v>29450</v>
      </c>
      <c r="G30" s="39">
        <v>32000</v>
      </c>
      <c r="H30" s="39">
        <f>G30-F30</f>
      </c>
      <c r="I30" s="40">
        <f>IF(F30&gt;0,(G30-F30)/F30,0)</f>
      </c>
      <c r="J30" s="41" t="s">
        <v>228</v>
      </c>
    </row>
    <row r="31" ht="22" customHeight="1" spans="1:10" x14ac:dyDescent="0.25">
      <c r="A31" s="28">
        <v>27</v>
      </c>
      <c r="B31" s="29" t="s">
        <v>229</v>
      </c>
      <c r="C31" s="28" t="s">
        <v>37</v>
      </c>
      <c r="D31" s="30" t="s">
        <v>14</v>
      </c>
      <c r="E31" s="23" t="s">
        <v>21</v>
      </c>
      <c r="F31" s="32">
        <v>289700</v>
      </c>
      <c r="G31" s="32">
        <v>313000</v>
      </c>
      <c r="H31" s="32">
        <f>G31-F31</f>
      </c>
      <c r="I31" s="33">
        <f>IF(F31&gt;0,(G31-F31)/F31,0)</f>
      </c>
      <c r="J31" s="34" t="s">
        <v>230</v>
      </c>
    </row>
    <row r="32" ht="22" customHeight="1" spans="1:10" x14ac:dyDescent="0.25">
      <c r="A32" s="35">
        <v>28</v>
      </c>
      <c r="B32" s="36" t="s">
        <v>488</v>
      </c>
      <c r="C32" s="35" t="s">
        <v>37</v>
      </c>
      <c r="D32" s="37" t="s">
        <v>14</v>
      </c>
      <c r="E32" s="23" t="s">
        <v>21</v>
      </c>
      <c r="F32" s="39">
        <v>48450</v>
      </c>
      <c r="G32" s="39">
        <v>53000</v>
      </c>
      <c r="H32" s="39">
        <f>G32-F32</f>
      </c>
      <c r="I32" s="40">
        <f>IF(F32&gt;0,(G32-F32)/F32,0)</f>
      </c>
      <c r="J32" s="41" t="s">
        <v>489</v>
      </c>
    </row>
    <row r="33" ht="22" customHeight="1" spans="1:10" x14ac:dyDescent="0.25">
      <c r="A33" s="28">
        <v>29</v>
      </c>
      <c r="B33" s="29" t="s">
        <v>231</v>
      </c>
      <c r="C33" s="28" t="s">
        <v>37</v>
      </c>
      <c r="D33" s="30" t="s">
        <v>14</v>
      </c>
      <c r="E33" s="23" t="s">
        <v>21</v>
      </c>
      <c r="F33" s="32">
        <v>521300</v>
      </c>
      <c r="G33" s="32">
        <v>564000</v>
      </c>
      <c r="H33" s="32">
        <f>G33-F33</f>
      </c>
      <c r="I33" s="33">
        <f>IF(F33&gt;0,(G33-F33)/F33,0)</f>
      </c>
      <c r="J33" s="34" t="s">
        <v>232</v>
      </c>
    </row>
    <row r="34" ht="22" customHeight="1" spans="1:10" x14ac:dyDescent="0.25">
      <c r="A34" s="35">
        <v>30</v>
      </c>
      <c r="B34" s="36" t="s">
        <v>490</v>
      </c>
      <c r="C34" s="35" t="s">
        <v>37</v>
      </c>
      <c r="D34" s="37" t="s">
        <v>14</v>
      </c>
      <c r="E34" s="23" t="s">
        <v>21</v>
      </c>
      <c r="F34" s="39">
        <v>77400</v>
      </c>
      <c r="G34" s="39">
        <v>84000</v>
      </c>
      <c r="H34" s="39">
        <f>G34-F34</f>
      </c>
      <c r="I34" s="40">
        <f>IF(F34&gt;0,(G34-F34)/F34,0)</f>
      </c>
      <c r="J34" s="41" t="s">
        <v>491</v>
      </c>
    </row>
    <row r="35" ht="22" customHeight="1" spans="1:10" x14ac:dyDescent="0.25">
      <c r="A35" s="28">
        <v>31</v>
      </c>
      <c r="B35" s="29" t="s">
        <v>237</v>
      </c>
      <c r="C35" s="28" t="s">
        <v>37</v>
      </c>
      <c r="D35" s="30" t="s">
        <v>14</v>
      </c>
      <c r="E35" s="23" t="s">
        <v>21</v>
      </c>
      <c r="F35" s="32">
        <v>431200</v>
      </c>
      <c r="G35" s="32">
        <v>466000</v>
      </c>
      <c r="H35" s="32">
        <f>G35-F35</f>
      </c>
      <c r="I35" s="33">
        <f>IF(F35&gt;0,(G35-F35)/F35,0)</f>
      </c>
      <c r="J35" s="34" t="s">
        <v>238</v>
      </c>
    </row>
    <row r="36" ht="22" customHeight="1" spans="1:10" x14ac:dyDescent="0.25">
      <c r="A36" s="35">
        <v>32</v>
      </c>
      <c r="B36" s="36" t="s">
        <v>239</v>
      </c>
      <c r="C36" s="35" t="s">
        <v>37</v>
      </c>
      <c r="D36" s="37" t="s">
        <v>14</v>
      </c>
      <c r="E36" s="23" t="s">
        <v>21</v>
      </c>
      <c r="F36" s="39">
        <v>248800</v>
      </c>
      <c r="G36" s="39">
        <v>269000</v>
      </c>
      <c r="H36" s="39">
        <f>G36-F36</f>
      </c>
      <c r="I36" s="40">
        <f>IF(F36&gt;0,(G36-F36)/F36,0)</f>
      </c>
      <c r="J36" s="41" t="s">
        <v>240</v>
      </c>
    </row>
    <row r="37" ht="22" customHeight="1" spans="1:10" x14ac:dyDescent="0.25">
      <c r="A37" s="28">
        <v>33</v>
      </c>
      <c r="B37" s="29" t="s">
        <v>241</v>
      </c>
      <c r="C37" s="28" t="s">
        <v>37</v>
      </c>
      <c r="D37" s="30" t="s">
        <v>14</v>
      </c>
      <c r="E37" s="23" t="s">
        <v>21</v>
      </c>
      <c r="F37" s="32">
        <v>47200</v>
      </c>
      <c r="G37" s="32">
        <v>51000</v>
      </c>
      <c r="H37" s="32">
        <f>G37-F37</f>
      </c>
      <c r="I37" s="33">
        <f>IF(F37&gt;0,(G37-F37)/F37,0)</f>
      </c>
      <c r="J37" s="34" t="s">
        <v>242</v>
      </c>
    </row>
    <row r="38" ht="22" customHeight="1" spans="1:10" x14ac:dyDescent="0.25">
      <c r="A38" s="35">
        <v>34</v>
      </c>
      <c r="B38" s="36" t="s">
        <v>243</v>
      </c>
      <c r="C38" s="35" t="s">
        <v>37</v>
      </c>
      <c r="D38" s="37" t="s">
        <v>14</v>
      </c>
      <c r="E38" s="23" t="s">
        <v>21</v>
      </c>
      <c r="F38" s="39">
        <v>133600</v>
      </c>
      <c r="G38" s="39">
        <v>145000</v>
      </c>
      <c r="H38" s="39">
        <f>G38-F38</f>
      </c>
      <c r="I38" s="40">
        <f>IF(F38&gt;0,(G38-F38)/F38,0)</f>
      </c>
      <c r="J38" s="41" t="s">
        <v>244</v>
      </c>
    </row>
    <row r="39" ht="22" customHeight="1" spans="1:10" x14ac:dyDescent="0.25">
      <c r="A39" s="28">
        <v>35</v>
      </c>
      <c r="B39" s="29" t="s">
        <v>245</v>
      </c>
      <c r="C39" s="28" t="s">
        <v>37</v>
      </c>
      <c r="D39" s="30" t="s">
        <v>14</v>
      </c>
      <c r="E39" s="23" t="s">
        <v>21</v>
      </c>
      <c r="F39" s="32">
        <v>840150</v>
      </c>
      <c r="G39" s="32">
        <v>908000</v>
      </c>
      <c r="H39" s="32">
        <f>G39-F39</f>
      </c>
      <c r="I39" s="33">
        <f>IF(F39&gt;0,(G39-F39)/F39,0)</f>
      </c>
      <c r="J39" s="34" t="s">
        <v>246</v>
      </c>
    </row>
    <row r="40" ht="22" customHeight="1" spans="1:10" x14ac:dyDescent="0.25">
      <c r="A40" s="35">
        <v>36</v>
      </c>
      <c r="B40" s="36" t="s">
        <v>247</v>
      </c>
      <c r="C40" s="35" t="s">
        <v>37</v>
      </c>
      <c r="D40" s="37" t="s">
        <v>14</v>
      </c>
      <c r="E40" s="23" t="s">
        <v>21</v>
      </c>
      <c r="F40" s="39">
        <v>187350</v>
      </c>
      <c r="G40" s="39">
        <v>203000</v>
      </c>
      <c r="H40" s="39">
        <f>G40-F40</f>
      </c>
      <c r="I40" s="40">
        <f>IF(F40&gt;0,(G40-F40)/F40,0)</f>
      </c>
      <c r="J40" s="41" t="s">
        <v>248</v>
      </c>
    </row>
    <row r="41" ht="22" customHeight="1" spans="1:10" x14ac:dyDescent="0.25">
      <c r="A41" s="28">
        <v>37</v>
      </c>
      <c r="B41" s="29" t="s">
        <v>249</v>
      </c>
      <c r="C41" s="28" t="s">
        <v>37</v>
      </c>
      <c r="D41" s="30" t="s">
        <v>14</v>
      </c>
      <c r="E41" s="23" t="s">
        <v>21</v>
      </c>
      <c r="F41" s="32">
        <v>446585</v>
      </c>
      <c r="G41" s="32">
        <v>483000</v>
      </c>
      <c r="H41" s="32">
        <f>G41-F41</f>
      </c>
      <c r="I41" s="33">
        <f>IF(F41&gt;0,(G41-F41)/F41,0)</f>
      </c>
      <c r="J41" s="34" t="s">
        <v>250</v>
      </c>
    </row>
    <row r="42" ht="22" customHeight="1" spans="1:10" x14ac:dyDescent="0.25">
      <c r="A42" s="35">
        <v>38</v>
      </c>
      <c r="B42" s="36" t="s">
        <v>251</v>
      </c>
      <c r="C42" s="35" t="s">
        <v>37</v>
      </c>
      <c r="D42" s="37" t="s">
        <v>14</v>
      </c>
      <c r="E42" s="10" t="s">
        <v>15</v>
      </c>
      <c r="F42" s="39">
        <v>344840</v>
      </c>
      <c r="G42" s="39">
        <v>373000</v>
      </c>
      <c r="H42" s="39">
        <f>G42-F42</f>
      </c>
      <c r="I42" s="40">
        <f>IF(F42&gt;0,(G42-F42)/F42,0)</f>
      </c>
      <c r="J42" s="41" t="s">
        <v>252</v>
      </c>
    </row>
    <row r="43" ht="22" customHeight="1" spans="1:10" x14ac:dyDescent="0.25">
      <c r="A43" s="28">
        <v>39</v>
      </c>
      <c r="B43" s="29" t="s">
        <v>253</v>
      </c>
      <c r="C43" s="28" t="s">
        <v>37</v>
      </c>
      <c r="D43" s="30" t="s">
        <v>14</v>
      </c>
      <c r="E43" s="23" t="s">
        <v>21</v>
      </c>
      <c r="F43" s="32">
        <v>94745</v>
      </c>
      <c r="G43" s="32">
        <v>103000</v>
      </c>
      <c r="H43" s="32">
        <f>G43-F43</f>
      </c>
      <c r="I43" s="33">
        <f>IF(F43&gt;0,(G43-F43)/F43,0)</f>
      </c>
      <c r="J43" s="34" t="s">
        <v>254</v>
      </c>
    </row>
    <row r="44" ht="22" customHeight="1" spans="1:10" x14ac:dyDescent="0.25">
      <c r="A44" s="35">
        <v>40</v>
      </c>
      <c r="B44" s="36" t="s">
        <v>255</v>
      </c>
      <c r="C44" s="35" t="s">
        <v>37</v>
      </c>
      <c r="D44" s="37" t="s">
        <v>14</v>
      </c>
      <c r="E44" s="10" t="s">
        <v>15</v>
      </c>
      <c r="F44" s="39">
        <v>181640</v>
      </c>
      <c r="G44" s="39">
        <v>197000</v>
      </c>
      <c r="H44" s="39">
        <f>G44-F44</f>
      </c>
      <c r="I44" s="40">
        <f>IF(F44&gt;0,(G44-F44)/F44,0)</f>
      </c>
      <c r="J44" s="41" t="s">
        <v>256</v>
      </c>
    </row>
    <row r="45" ht="22" customHeight="1" spans="1:10" x14ac:dyDescent="0.25">
      <c r="A45" s="28">
        <v>41</v>
      </c>
      <c r="B45" s="29" t="s">
        <v>257</v>
      </c>
      <c r="C45" s="28" t="s">
        <v>37</v>
      </c>
      <c r="D45" s="30" t="s">
        <v>14</v>
      </c>
      <c r="E45" s="23" t="s">
        <v>21</v>
      </c>
      <c r="F45" s="32">
        <v>1453080</v>
      </c>
      <c r="G45" s="32">
        <v>1570000</v>
      </c>
      <c r="H45" s="32">
        <f>G45-F45</f>
      </c>
      <c r="I45" s="33">
        <f>IF(F45&gt;0,(G45-F45)/F45,0)</f>
      </c>
      <c r="J45" s="34" t="s">
        <v>258</v>
      </c>
    </row>
    <row r="46" ht="22" customHeight="1" spans="1:10" x14ac:dyDescent="0.25">
      <c r="A46" s="35">
        <v>42</v>
      </c>
      <c r="B46" s="36" t="s">
        <v>259</v>
      </c>
      <c r="C46" s="35" t="s">
        <v>37</v>
      </c>
      <c r="D46" s="37" t="s">
        <v>14</v>
      </c>
      <c r="E46" s="23" t="s">
        <v>21</v>
      </c>
      <c r="F46" s="39">
        <v>748933</v>
      </c>
      <c r="G46" s="39">
        <v>809000</v>
      </c>
      <c r="H46" s="39">
        <f>G46-F46</f>
      </c>
      <c r="I46" s="40">
        <f>IF(F46&gt;0,(G46-F46)/F46,0)</f>
      </c>
      <c r="J46" s="41" t="s">
        <v>260</v>
      </c>
    </row>
    <row r="47" ht="22" customHeight="1" spans="1:10" x14ac:dyDescent="0.25">
      <c r="A47" s="28">
        <v>43</v>
      </c>
      <c r="B47" s="29" t="s">
        <v>261</v>
      </c>
      <c r="C47" s="28" t="s">
        <v>37</v>
      </c>
      <c r="D47" s="30" t="s">
        <v>14</v>
      </c>
      <c r="E47" s="23" t="s">
        <v>21</v>
      </c>
      <c r="F47" s="32">
        <v>168020</v>
      </c>
      <c r="G47" s="32">
        <v>182000</v>
      </c>
      <c r="H47" s="32">
        <f>G47-F47</f>
      </c>
      <c r="I47" s="33">
        <f>IF(F47&gt;0,(G47-F47)/F47,0)</f>
      </c>
      <c r="J47" s="34" t="s">
        <v>262</v>
      </c>
    </row>
    <row r="48" ht="22" customHeight="1" spans="1:10" x14ac:dyDescent="0.25">
      <c r="A48" s="35">
        <v>44</v>
      </c>
      <c r="B48" s="36" t="s">
        <v>263</v>
      </c>
      <c r="C48" s="35" t="s">
        <v>37</v>
      </c>
      <c r="D48" s="37" t="s">
        <v>14</v>
      </c>
      <c r="E48" s="23" t="s">
        <v>21</v>
      </c>
      <c r="F48" s="39">
        <v>396027</v>
      </c>
      <c r="G48" s="39">
        <v>428000</v>
      </c>
      <c r="H48" s="39">
        <f>G48-F48</f>
      </c>
      <c r="I48" s="40">
        <f>IF(F48&gt;0,(G48-F48)/F48,0)</f>
      </c>
      <c r="J48" s="41" t="s">
        <v>264</v>
      </c>
    </row>
    <row r="49" ht="22" customHeight="1" spans="1:10" x14ac:dyDescent="0.25">
      <c r="A49" s="28">
        <v>45</v>
      </c>
      <c r="B49" s="29" t="s">
        <v>265</v>
      </c>
      <c r="C49" s="28" t="s">
        <v>37</v>
      </c>
      <c r="D49" s="30" t="s">
        <v>14</v>
      </c>
      <c r="E49" s="10" t="s">
        <v>15</v>
      </c>
      <c r="F49" s="32">
        <v>316120</v>
      </c>
      <c r="G49" s="32">
        <v>342000</v>
      </c>
      <c r="H49" s="32">
        <f>G49-F49</f>
      </c>
      <c r="I49" s="33">
        <f>IF(F49&gt;0,(G49-F49)/F49,0)</f>
      </c>
      <c r="J49" s="34" t="s">
        <v>266</v>
      </c>
    </row>
    <row r="50" ht="22" customHeight="1" spans="1:10" x14ac:dyDescent="0.25">
      <c r="A50" s="35">
        <v>46</v>
      </c>
      <c r="B50" s="36" t="s">
        <v>267</v>
      </c>
      <c r="C50" s="35" t="s">
        <v>37</v>
      </c>
      <c r="D50" s="37" t="s">
        <v>14</v>
      </c>
      <c r="E50" s="10" t="s">
        <v>15</v>
      </c>
      <c r="F50" s="39">
        <v>60920</v>
      </c>
      <c r="G50" s="39">
        <v>66000</v>
      </c>
      <c r="H50" s="39">
        <f>G50-F50</f>
      </c>
      <c r="I50" s="40">
        <f>IF(F50&gt;0,(G50-F50)/F50,0)</f>
      </c>
      <c r="J50" s="41" t="s">
        <v>268</v>
      </c>
    </row>
    <row r="51" ht="22" customHeight="1" spans="1:10" x14ac:dyDescent="0.25">
      <c r="A51" s="28">
        <v>47</v>
      </c>
      <c r="B51" s="29" t="s">
        <v>269</v>
      </c>
      <c r="C51" s="28" t="s">
        <v>37</v>
      </c>
      <c r="D51" s="30" t="s">
        <v>14</v>
      </c>
      <c r="E51" s="10" t="s">
        <v>15</v>
      </c>
      <c r="F51" s="32">
        <v>166520</v>
      </c>
      <c r="G51" s="32">
        <v>180000</v>
      </c>
      <c r="H51" s="32">
        <f>G51-F51</f>
      </c>
      <c r="I51" s="33">
        <f>IF(F51&gt;0,(G51-F51)/F51,0)</f>
      </c>
      <c r="J51" s="34" t="s">
        <v>270</v>
      </c>
    </row>
    <row r="52" ht="22" customHeight="1" spans="1:10" x14ac:dyDescent="0.25">
      <c r="A52" s="35">
        <v>48</v>
      </c>
      <c r="B52" s="36" t="s">
        <v>273</v>
      </c>
      <c r="C52" s="35" t="s">
        <v>37</v>
      </c>
      <c r="D52" s="37" t="s">
        <v>14</v>
      </c>
      <c r="E52" s="23" t="s">
        <v>21</v>
      </c>
      <c r="F52" s="39">
        <v>93300</v>
      </c>
      <c r="G52" s="39">
        <v>101000</v>
      </c>
      <c r="H52" s="39">
        <f>G52-F52</f>
      </c>
      <c r="I52" s="40">
        <f>IF(F52&gt;0,(G52-F52)/F52,0)</f>
      </c>
      <c r="J52" s="41" t="s">
        <v>274</v>
      </c>
    </row>
    <row r="53" ht="22" customHeight="1" spans="1:10" x14ac:dyDescent="0.25">
      <c r="A53" s="28">
        <v>49</v>
      </c>
      <c r="B53" s="29" t="s">
        <v>275</v>
      </c>
      <c r="C53" s="28" t="s">
        <v>37</v>
      </c>
      <c r="D53" s="30" t="s">
        <v>14</v>
      </c>
      <c r="E53" s="23" t="s">
        <v>21</v>
      </c>
      <c r="F53" s="32">
        <v>291200</v>
      </c>
      <c r="G53" s="32">
        <v>315000</v>
      </c>
      <c r="H53" s="32">
        <f>G53-F53</f>
      </c>
      <c r="I53" s="33">
        <f>IF(F53&gt;0,(G53-F53)/F53,0)</f>
      </c>
      <c r="J53" s="34" t="s">
        <v>276</v>
      </c>
    </row>
    <row r="54" ht="22" customHeight="1" spans="1:10" x14ac:dyDescent="0.25">
      <c r="A54" s="35">
        <v>50</v>
      </c>
      <c r="B54" s="36" t="s">
        <v>277</v>
      </c>
      <c r="C54" s="35" t="s">
        <v>37</v>
      </c>
      <c r="D54" s="37" t="s">
        <v>14</v>
      </c>
      <c r="E54" s="23" t="s">
        <v>21</v>
      </c>
      <c r="F54" s="39">
        <v>46800</v>
      </c>
      <c r="G54" s="39">
        <v>51000</v>
      </c>
      <c r="H54" s="39">
        <f>G54-F54</f>
      </c>
      <c r="I54" s="40">
        <f>IF(F54&gt;0,(G54-F54)/F54,0)</f>
      </c>
      <c r="J54" s="41" t="s">
        <v>278</v>
      </c>
    </row>
    <row r="55" ht="22" customHeight="1" spans="1:10" x14ac:dyDescent="0.25">
      <c r="A55" s="28">
        <v>51</v>
      </c>
      <c r="B55" s="29" t="s">
        <v>279</v>
      </c>
      <c r="C55" s="28" t="s">
        <v>37</v>
      </c>
      <c r="D55" s="30" t="s">
        <v>14</v>
      </c>
      <c r="E55" s="23" t="s">
        <v>21</v>
      </c>
      <c r="F55" s="32">
        <v>74300</v>
      </c>
      <c r="G55" s="32">
        <v>81000</v>
      </c>
      <c r="H55" s="32">
        <f>G55-F55</f>
      </c>
      <c r="I55" s="33">
        <f>IF(F55&gt;0,(G55-F55)/F55,0)</f>
      </c>
      <c r="J55" s="34" t="s">
        <v>280</v>
      </c>
    </row>
    <row r="56" ht="22" customHeight="1" spans="1:10" x14ac:dyDescent="0.25">
      <c r="A56" s="35">
        <v>52</v>
      </c>
      <c r="B56" s="36" t="s">
        <v>344</v>
      </c>
      <c r="C56" s="35" t="s">
        <v>37</v>
      </c>
      <c r="D56" s="37" t="s">
        <v>14</v>
      </c>
      <c r="E56" s="10" t="s">
        <v>15</v>
      </c>
      <c r="F56" s="39">
        <v>56663</v>
      </c>
      <c r="G56" s="39">
        <v>62000</v>
      </c>
      <c r="H56" s="39">
        <f>G56-F56</f>
      </c>
      <c r="I56" s="40">
        <f>IF(F56&gt;0,(G56-F56)/F56,0)</f>
      </c>
      <c r="J56" s="41" t="s">
        <v>345</v>
      </c>
    </row>
    <row r="57" ht="22" customHeight="1" spans="1:10" x14ac:dyDescent="0.25">
      <c r="A57" s="28">
        <v>53</v>
      </c>
      <c r="B57" s="29" t="s">
        <v>350</v>
      </c>
      <c r="C57" s="28" t="s">
        <v>37</v>
      </c>
      <c r="D57" s="30" t="s">
        <v>14</v>
      </c>
      <c r="E57" s="23" t="s">
        <v>21</v>
      </c>
      <c r="F57" s="32">
        <v>24850</v>
      </c>
      <c r="G57" s="32">
        <v>28000</v>
      </c>
      <c r="H57" s="32">
        <f>G57-F57</f>
      </c>
      <c r="I57" s="33">
        <f>IF(F57&gt;0,(G57-F57)/F57,0)</f>
      </c>
      <c r="J57" s="34" t="s">
        <v>351</v>
      </c>
    </row>
    <row r="58" ht="22" customHeight="1" spans="1:10" x14ac:dyDescent="0.25">
      <c r="A58" s="35">
        <v>54</v>
      </c>
      <c r="B58" s="36" t="s">
        <v>352</v>
      </c>
      <c r="C58" s="35" t="s">
        <v>37</v>
      </c>
      <c r="D58" s="37" t="s">
        <v>14</v>
      </c>
      <c r="E58" s="23" t="s">
        <v>21</v>
      </c>
      <c r="F58" s="39">
        <v>22060</v>
      </c>
      <c r="G58" s="39">
        <v>25000</v>
      </c>
      <c r="H58" s="39">
        <f>G58-F58</f>
      </c>
      <c r="I58" s="40">
        <f>IF(F58&gt;0,(G58-F58)/F58,0)</f>
      </c>
      <c r="J58" s="41" t="s">
        <v>353</v>
      </c>
    </row>
    <row r="59" ht="22" customHeight="1" spans="1:10" x14ac:dyDescent="0.25">
      <c r="A59" s="28">
        <v>55</v>
      </c>
      <c r="B59" s="29" t="s">
        <v>354</v>
      </c>
      <c r="C59" s="28" t="s">
        <v>37</v>
      </c>
      <c r="D59" s="30" t="s">
        <v>14</v>
      </c>
      <c r="E59" s="10" t="s">
        <v>15</v>
      </c>
      <c r="F59" s="32">
        <v>141225</v>
      </c>
      <c r="G59" s="32">
        <v>153000</v>
      </c>
      <c r="H59" s="32">
        <f>G59-F59</f>
      </c>
      <c r="I59" s="33">
        <f>IF(F59&gt;0,(G59-F59)/F59,0)</f>
      </c>
      <c r="J59" s="34" t="s">
        <v>355</v>
      </c>
    </row>
    <row r="60" ht="22" customHeight="1" spans="1:10" x14ac:dyDescent="0.25">
      <c r="A60" s="35">
        <v>56</v>
      </c>
      <c r="B60" s="36" t="s">
        <v>356</v>
      </c>
      <c r="C60" s="35" t="s">
        <v>37</v>
      </c>
      <c r="D60" s="37" t="s">
        <v>14</v>
      </c>
      <c r="E60" s="10" t="s">
        <v>15</v>
      </c>
      <c r="F60" s="39">
        <v>51275</v>
      </c>
      <c r="G60" s="39">
        <v>56000</v>
      </c>
      <c r="H60" s="39">
        <f>G60-F60</f>
      </c>
      <c r="I60" s="40">
        <f>IF(F60&gt;0,(G60-F60)/F60,0)</f>
      </c>
      <c r="J60" s="41" t="s">
        <v>357</v>
      </c>
    </row>
    <row r="61" ht="22" customHeight="1" spans="1:10" x14ac:dyDescent="0.25">
      <c r="A61" s="28">
        <v>57</v>
      </c>
      <c r="B61" s="29" t="s">
        <v>358</v>
      </c>
      <c r="C61" s="28" t="s">
        <v>37</v>
      </c>
      <c r="D61" s="30" t="s">
        <v>14</v>
      </c>
      <c r="E61" s="10" t="s">
        <v>15</v>
      </c>
      <c r="F61" s="32">
        <v>80050</v>
      </c>
      <c r="G61" s="32">
        <v>87000</v>
      </c>
      <c r="H61" s="32">
        <f>G61-F61</f>
      </c>
      <c r="I61" s="33">
        <f>IF(F61&gt;0,(G61-F61)/F61,0)</f>
      </c>
      <c r="J61" s="34" t="s">
        <v>359</v>
      </c>
    </row>
    <row r="62" ht="22" customHeight="1" spans="1:10" x14ac:dyDescent="0.25">
      <c r="A62" s="35">
        <v>58</v>
      </c>
      <c r="B62" s="36" t="s">
        <v>360</v>
      </c>
      <c r="C62" s="35" t="s">
        <v>37</v>
      </c>
      <c r="D62" s="37" t="s">
        <v>14</v>
      </c>
      <c r="E62" s="10" t="s">
        <v>15</v>
      </c>
      <c r="F62" s="39">
        <v>89875</v>
      </c>
      <c r="G62" s="39">
        <v>98000</v>
      </c>
      <c r="H62" s="39">
        <f>G62-F62</f>
      </c>
      <c r="I62" s="40">
        <f>IF(F62&gt;0,(G62-F62)/F62,0)</f>
      </c>
      <c r="J62" s="41" t="s">
        <v>361</v>
      </c>
    </row>
    <row r="63" ht="22" customHeight="1" spans="1:10" x14ac:dyDescent="0.25">
      <c r="A63" s="28">
        <v>59</v>
      </c>
      <c r="B63" s="29" t="s">
        <v>362</v>
      </c>
      <c r="C63" s="28" t="s">
        <v>37</v>
      </c>
      <c r="D63" s="30" t="s">
        <v>14</v>
      </c>
      <c r="E63" s="10" t="s">
        <v>15</v>
      </c>
      <c r="F63" s="32">
        <v>36125</v>
      </c>
      <c r="G63" s="32">
        <v>40000</v>
      </c>
      <c r="H63" s="32">
        <f>G63-F63</f>
      </c>
      <c r="I63" s="33">
        <f>IF(F63&gt;0,(G63-F63)/F63,0)</f>
      </c>
      <c r="J63" s="34" t="s">
        <v>363</v>
      </c>
    </row>
    <row r="64" ht="22" customHeight="1" spans="1:10" x14ac:dyDescent="0.25">
      <c r="A64" s="35">
        <v>60</v>
      </c>
      <c r="B64" s="36" t="s">
        <v>364</v>
      </c>
      <c r="C64" s="35" t="s">
        <v>37</v>
      </c>
      <c r="D64" s="37" t="s">
        <v>14</v>
      </c>
      <c r="E64" s="10" t="s">
        <v>15</v>
      </c>
      <c r="F64" s="39">
        <v>144225</v>
      </c>
      <c r="G64" s="39">
        <v>156000</v>
      </c>
      <c r="H64" s="39">
        <f>G64-F64</f>
      </c>
      <c r="I64" s="40">
        <f>IF(F64&gt;0,(G64-F64)/F64,0)</f>
      </c>
      <c r="J64" s="41" t="s">
        <v>365</v>
      </c>
    </row>
    <row r="65" ht="22" customHeight="1" spans="1:10" x14ac:dyDescent="0.25">
      <c r="A65" s="28">
        <v>61</v>
      </c>
      <c r="B65" s="29" t="s">
        <v>366</v>
      </c>
      <c r="C65" s="28" t="s">
        <v>37</v>
      </c>
      <c r="D65" s="30" t="s">
        <v>14</v>
      </c>
      <c r="E65" s="10" t="s">
        <v>15</v>
      </c>
      <c r="F65" s="32">
        <v>193225</v>
      </c>
      <c r="G65" s="32">
        <v>209000</v>
      </c>
      <c r="H65" s="32">
        <f>G65-F65</f>
      </c>
      <c r="I65" s="33">
        <f>IF(F65&gt;0,(G65-F65)/F65,0)</f>
      </c>
      <c r="J65" s="34" t="s">
        <v>367</v>
      </c>
    </row>
    <row r="66" ht="22" customHeight="1" spans="1:10" x14ac:dyDescent="0.25">
      <c r="A66" s="35">
        <v>62</v>
      </c>
      <c r="B66" s="36" t="s">
        <v>368</v>
      </c>
      <c r="C66" s="35" t="s">
        <v>37</v>
      </c>
      <c r="D66" s="37" t="s">
        <v>14</v>
      </c>
      <c r="E66" s="10" t="s">
        <v>15</v>
      </c>
      <c r="F66" s="39">
        <v>54125</v>
      </c>
      <c r="G66" s="39">
        <v>59000</v>
      </c>
      <c r="H66" s="39">
        <f>G66-F66</f>
      </c>
      <c r="I66" s="40">
        <f>IF(F66&gt;0,(G66-F66)/F66,0)</f>
      </c>
      <c r="J66" s="41" t="s">
        <v>369</v>
      </c>
    </row>
    <row r="67" ht="22" customHeight="1" spans="1:10" x14ac:dyDescent="0.25">
      <c r="A67" s="28">
        <v>63</v>
      </c>
      <c r="B67" s="29" t="s">
        <v>370</v>
      </c>
      <c r="C67" s="28" t="s">
        <v>37</v>
      </c>
      <c r="D67" s="30" t="s">
        <v>14</v>
      </c>
      <c r="E67" s="10" t="s">
        <v>15</v>
      </c>
      <c r="F67" s="32">
        <v>62300</v>
      </c>
      <c r="G67" s="32">
        <v>68000</v>
      </c>
      <c r="H67" s="32">
        <f>G67-F67</f>
      </c>
      <c r="I67" s="33">
        <f>IF(F67&gt;0,(G67-F67)/F67,0)</f>
      </c>
      <c r="J67" s="34" t="s">
        <v>371</v>
      </c>
    </row>
    <row r="68" ht="22" customHeight="1" spans="1:10" x14ac:dyDescent="0.25">
      <c r="A68" s="35">
        <v>64</v>
      </c>
      <c r="B68" s="36" t="s">
        <v>372</v>
      </c>
      <c r="C68" s="35" t="s">
        <v>37</v>
      </c>
      <c r="D68" s="37" t="s">
        <v>14</v>
      </c>
      <c r="E68" s="23" t="s">
        <v>21</v>
      </c>
      <c r="F68" s="39">
        <v>5705</v>
      </c>
      <c r="G68" s="39">
        <v>9000</v>
      </c>
      <c r="H68" s="39">
        <f>G68-F68</f>
      </c>
      <c r="I68" s="40">
        <f>IF(F68&gt;0,(G68-F68)/F68,0)</f>
      </c>
      <c r="J68" s="41" t="s">
        <v>373</v>
      </c>
    </row>
    <row r="69" ht="22" customHeight="1" spans="1:10" x14ac:dyDescent="0.25">
      <c r="A69" s="28">
        <v>65</v>
      </c>
      <c r="B69" s="29" t="s">
        <v>374</v>
      </c>
      <c r="C69" s="28" t="s">
        <v>37</v>
      </c>
      <c r="D69" s="30" t="s">
        <v>14</v>
      </c>
      <c r="E69" s="10" t="s">
        <v>15</v>
      </c>
      <c r="F69" s="32">
        <v>6201</v>
      </c>
      <c r="G69" s="32">
        <v>9000</v>
      </c>
      <c r="H69" s="32">
        <f>G69-F69</f>
      </c>
      <c r="I69" s="33">
        <f>IF(F69&gt;0,(G69-F69)/F69,0)</f>
      </c>
      <c r="J69" s="34" t="s">
        <v>375</v>
      </c>
    </row>
    <row r="70" ht="22" customHeight="1" spans="1:10" x14ac:dyDescent="0.25">
      <c r="A70" s="35">
        <v>66</v>
      </c>
      <c r="B70" s="36" t="s">
        <v>376</v>
      </c>
      <c r="C70" s="35" t="s">
        <v>37</v>
      </c>
      <c r="D70" s="37" t="s">
        <v>14</v>
      </c>
      <c r="E70" s="23" t="s">
        <v>21</v>
      </c>
      <c r="F70" s="39">
        <v>16650</v>
      </c>
      <c r="G70" s="39">
        <v>20000</v>
      </c>
      <c r="H70" s="39">
        <f>G70-F70</f>
      </c>
      <c r="I70" s="40">
        <f>IF(F70&gt;0,(G70-F70)/F70,0)</f>
      </c>
      <c r="J70" s="41" t="s">
        <v>377</v>
      </c>
    </row>
    <row r="71" ht="22" customHeight="1" spans="1:10" x14ac:dyDescent="0.25">
      <c r="A71" s="28">
        <v>67</v>
      </c>
      <c r="B71" s="29" t="s">
        <v>378</v>
      </c>
      <c r="C71" s="28" t="s">
        <v>37</v>
      </c>
      <c r="D71" s="30" t="s">
        <v>14</v>
      </c>
      <c r="E71" s="10" t="s">
        <v>15</v>
      </c>
      <c r="F71" s="32">
        <v>50224</v>
      </c>
      <c r="G71" s="32">
        <v>55000</v>
      </c>
      <c r="H71" s="32">
        <f>G71-F71</f>
      </c>
      <c r="I71" s="33">
        <f>IF(F71&gt;0,(G71-F71)/F71,0)</f>
      </c>
      <c r="J71" s="34" t="s">
        <v>379</v>
      </c>
    </row>
    <row r="72" ht="22" customHeight="1" spans="1:10" x14ac:dyDescent="0.25">
      <c r="A72" s="35">
        <v>68</v>
      </c>
      <c r="B72" s="36" t="s">
        <v>380</v>
      </c>
      <c r="C72" s="35" t="s">
        <v>37</v>
      </c>
      <c r="D72" s="37" t="s">
        <v>14</v>
      </c>
      <c r="E72" s="23" t="s">
        <v>21</v>
      </c>
      <c r="F72" s="39">
        <v>11230</v>
      </c>
      <c r="G72" s="39">
        <v>14000</v>
      </c>
      <c r="H72" s="39">
        <f>G72-F72</f>
      </c>
      <c r="I72" s="40">
        <f>IF(F72&gt;0,(G72-F72)/F72,0)</f>
      </c>
      <c r="J72" s="41" t="s">
        <v>381</v>
      </c>
    </row>
    <row r="73" ht="22" customHeight="1" spans="1:10" x14ac:dyDescent="0.25">
      <c r="A73" s="28">
        <v>69</v>
      </c>
      <c r="B73" s="29" t="s">
        <v>382</v>
      </c>
      <c r="C73" s="28" t="s">
        <v>37</v>
      </c>
      <c r="D73" s="30" t="s">
        <v>14</v>
      </c>
      <c r="E73" s="10" t="s">
        <v>15</v>
      </c>
      <c r="F73" s="32">
        <v>12255</v>
      </c>
      <c r="G73" s="32">
        <v>15000</v>
      </c>
      <c r="H73" s="32">
        <f>G73-F73</f>
      </c>
      <c r="I73" s="33">
        <f>IF(F73&gt;0,(G73-F73)/F73,0)</f>
      </c>
      <c r="J73" s="34" t="s">
        <v>383</v>
      </c>
    </row>
    <row r="74" ht="22" customHeight="1" spans="1:10" x14ac:dyDescent="0.25">
      <c r="A74" s="35">
        <v>70</v>
      </c>
      <c r="B74" s="36" t="s">
        <v>384</v>
      </c>
      <c r="C74" s="35" t="s">
        <v>37</v>
      </c>
      <c r="D74" s="37" t="s">
        <v>14</v>
      </c>
      <c r="E74" s="23" t="s">
        <v>21</v>
      </c>
      <c r="F74" s="39">
        <v>24710</v>
      </c>
      <c r="G74" s="39">
        <v>28000</v>
      </c>
      <c r="H74" s="39">
        <f>G74-F74</f>
      </c>
      <c r="I74" s="40">
        <f>IF(F74&gt;0,(G74-F74)/F74,0)</f>
      </c>
      <c r="J74" s="41" t="s">
        <v>385</v>
      </c>
    </row>
    <row r="75" ht="22" customHeight="1" spans="1:10" x14ac:dyDescent="0.25">
      <c r="A75" s="28">
        <v>71</v>
      </c>
      <c r="B75" s="29" t="s">
        <v>386</v>
      </c>
      <c r="C75" s="28" t="s">
        <v>37</v>
      </c>
      <c r="D75" s="30" t="s">
        <v>14</v>
      </c>
      <c r="E75" s="10" t="s">
        <v>15</v>
      </c>
      <c r="F75" s="32">
        <v>28225</v>
      </c>
      <c r="G75" s="32">
        <v>31000</v>
      </c>
      <c r="H75" s="32">
        <f>G75-F75</f>
      </c>
      <c r="I75" s="33">
        <f>IF(F75&gt;0,(G75-F75)/F75,0)</f>
      </c>
      <c r="J75" s="34" t="s">
        <v>387</v>
      </c>
    </row>
    <row r="76" ht="22" customHeight="1" spans="1:10" x14ac:dyDescent="0.25">
      <c r="A76" s="35">
        <v>72</v>
      </c>
      <c r="B76" s="36" t="s">
        <v>388</v>
      </c>
      <c r="C76" s="35" t="s">
        <v>37</v>
      </c>
      <c r="D76" s="37" t="s">
        <v>14</v>
      </c>
      <c r="E76" s="23" t="s">
        <v>21</v>
      </c>
      <c r="F76" s="39">
        <v>67850</v>
      </c>
      <c r="G76" s="39">
        <v>74000</v>
      </c>
      <c r="H76" s="39">
        <f>G76-F76</f>
      </c>
      <c r="I76" s="40">
        <f>IF(F76&gt;0,(G76-F76)/F76,0)</f>
      </c>
      <c r="J76" s="41" t="s">
        <v>389</v>
      </c>
    </row>
    <row r="77" ht="22" customHeight="1" spans="1:10" x14ac:dyDescent="0.25">
      <c r="A77" s="28">
        <v>73</v>
      </c>
      <c r="B77" s="29" t="s">
        <v>390</v>
      </c>
      <c r="C77" s="28" t="s">
        <v>37</v>
      </c>
      <c r="D77" s="30" t="s">
        <v>14</v>
      </c>
      <c r="E77" s="23" t="s">
        <v>21</v>
      </c>
      <c r="F77" s="32">
        <v>70250</v>
      </c>
      <c r="G77" s="32">
        <v>76000</v>
      </c>
      <c r="H77" s="32">
        <f>G77-F77</f>
      </c>
      <c r="I77" s="33">
        <f>IF(F77&gt;0,(G77-F77)/F77,0)</f>
      </c>
      <c r="J77" s="34" t="s">
        <v>391</v>
      </c>
    </row>
    <row r="78" ht="22" customHeight="1" spans="1:10" x14ac:dyDescent="0.25">
      <c r="A78" s="35">
        <v>74</v>
      </c>
      <c r="B78" s="36" t="s">
        <v>492</v>
      </c>
      <c r="C78" s="35" t="s">
        <v>37</v>
      </c>
      <c r="D78" s="37" t="s">
        <v>14</v>
      </c>
      <c r="E78" s="23" t="s">
        <v>21</v>
      </c>
      <c r="F78" s="39">
        <v>48575</v>
      </c>
      <c r="G78" s="39">
        <v>53000</v>
      </c>
      <c r="H78" s="39">
        <f>G78-F78</f>
      </c>
      <c r="I78" s="40">
        <f>IF(F78&gt;0,(G78-F78)/F78,0)</f>
      </c>
      <c r="J78" s="41" t="s">
        <v>493</v>
      </c>
    </row>
    <row r="79" ht="22" customHeight="1" spans="1:10" x14ac:dyDescent="0.25">
      <c r="A79" s="28">
        <v>75</v>
      </c>
      <c r="B79" s="29" t="s">
        <v>494</v>
      </c>
      <c r="C79" s="28" t="s">
        <v>37</v>
      </c>
      <c r="D79" s="30" t="s">
        <v>14</v>
      </c>
      <c r="E79" s="10" t="s">
        <v>15</v>
      </c>
      <c r="F79" s="32">
        <v>38375</v>
      </c>
      <c r="G79" s="32">
        <v>42000</v>
      </c>
      <c r="H79" s="32">
        <f>G79-F79</f>
      </c>
      <c r="I79" s="33">
        <f>IF(F79&gt;0,(G79-F79)/F79,0)</f>
      </c>
      <c r="J79" s="34" t="s">
        <v>447</v>
      </c>
    </row>
    <row r="80" ht="22" customHeight="1" spans="1:10" x14ac:dyDescent="0.25">
      <c r="A80" s="35">
        <v>76</v>
      </c>
      <c r="B80" s="36" t="s">
        <v>495</v>
      </c>
      <c r="C80" s="35" t="s">
        <v>37</v>
      </c>
      <c r="D80" s="37" t="s">
        <v>14</v>
      </c>
      <c r="E80" s="23" t="s">
        <v>21</v>
      </c>
      <c r="F80" s="39">
        <v>145326</v>
      </c>
      <c r="G80" s="39">
        <v>157000</v>
      </c>
      <c r="H80" s="39">
        <f>G80-F80</f>
      </c>
      <c r="I80" s="40">
        <f>IF(F80&gt;0,(G80-F80)/F80,0)</f>
      </c>
      <c r="J80" s="41" t="s">
        <v>449</v>
      </c>
    </row>
    <row r="81" ht="22" customHeight="1" spans="1:10" x14ac:dyDescent="0.25">
      <c r="A81" s="28">
        <v>77</v>
      </c>
      <c r="B81" s="29" t="s">
        <v>496</v>
      </c>
      <c r="C81" s="28" t="s">
        <v>37</v>
      </c>
      <c r="D81" s="30" t="s">
        <v>14</v>
      </c>
      <c r="E81" s="10" t="s">
        <v>15</v>
      </c>
      <c r="F81" s="32">
        <v>29650</v>
      </c>
      <c r="G81" s="32">
        <v>33000</v>
      </c>
      <c r="H81" s="32">
        <f>G81-F81</f>
      </c>
      <c r="I81" s="33">
        <f>IF(F81&gt;0,(G81-F81)/F81,0)</f>
      </c>
      <c r="J81" s="34" t="s">
        <v>451</v>
      </c>
    </row>
    <row r="82" ht="22" customHeight="1" spans="1:10" x14ac:dyDescent="0.25">
      <c r="A82" s="35">
        <v>78</v>
      </c>
      <c r="B82" s="36" t="s">
        <v>497</v>
      </c>
      <c r="C82" s="35" t="s">
        <v>37</v>
      </c>
      <c r="D82" s="37" t="s">
        <v>14</v>
      </c>
      <c r="E82" s="23" t="s">
        <v>21</v>
      </c>
      <c r="F82" s="39">
        <v>40020</v>
      </c>
      <c r="G82" s="39">
        <v>44000</v>
      </c>
      <c r="H82" s="39">
        <f>G82-F82</f>
      </c>
      <c r="I82" s="40">
        <f>IF(F82&gt;0,(G82-F82)/F82,0)</f>
      </c>
      <c r="J82" s="41" t="s">
        <v>453</v>
      </c>
    </row>
    <row r="83" ht="22" customHeight="1" spans="1:10" x14ac:dyDescent="0.25">
      <c r="A83" s="28">
        <v>79</v>
      </c>
      <c r="B83" s="29" t="s">
        <v>454</v>
      </c>
      <c r="C83" s="28" t="s">
        <v>37</v>
      </c>
      <c r="D83" s="30" t="s">
        <v>14</v>
      </c>
      <c r="E83" s="10" t="s">
        <v>15</v>
      </c>
      <c r="F83" s="32">
        <v>352200</v>
      </c>
      <c r="G83" s="32">
        <v>381000</v>
      </c>
      <c r="H83" s="32">
        <f>G83-F83</f>
      </c>
      <c r="I83" s="33">
        <f>IF(F83&gt;0,(G83-F83)/F83,0)</f>
      </c>
      <c r="J83" s="34" t="s">
        <v>455</v>
      </c>
    </row>
    <row r="84" ht="22" customHeight="1" spans="1:10" x14ac:dyDescent="0.25">
      <c r="A84" s="35">
        <v>80</v>
      </c>
      <c r="B84" s="36" t="s">
        <v>456</v>
      </c>
      <c r="C84" s="35" t="s">
        <v>37</v>
      </c>
      <c r="D84" s="37" t="s">
        <v>14</v>
      </c>
      <c r="E84" s="10" t="s">
        <v>15</v>
      </c>
      <c r="F84" s="39">
        <v>43400</v>
      </c>
      <c r="G84" s="39">
        <v>47000</v>
      </c>
      <c r="H84" s="39">
        <f>G84-F84</f>
      </c>
      <c r="I84" s="40">
        <f>IF(F84&gt;0,(G84-F84)/F84,0)</f>
      </c>
      <c r="J84" s="41" t="s">
        <v>457</v>
      </c>
    </row>
    <row r="85" ht="22" customHeight="1" spans="1:10" x14ac:dyDescent="0.25">
      <c r="A85" s="28">
        <v>81</v>
      </c>
      <c r="B85" s="29" t="s">
        <v>458</v>
      </c>
      <c r="C85" s="28" t="s">
        <v>37</v>
      </c>
      <c r="D85" s="30" t="s">
        <v>14</v>
      </c>
      <c r="E85" s="10" t="s">
        <v>15</v>
      </c>
      <c r="F85" s="32">
        <v>20360</v>
      </c>
      <c r="G85" s="32">
        <v>23000</v>
      </c>
      <c r="H85" s="32">
        <f>G85-F85</f>
      </c>
      <c r="I85" s="33">
        <f>IF(F85&gt;0,(G85-F85)/F85,0)</f>
      </c>
      <c r="J85" s="34" t="s">
        <v>459</v>
      </c>
    </row>
    <row r="86" ht="22" customHeight="1" spans="1:10" x14ac:dyDescent="0.25">
      <c r="A86" s="35">
        <v>82</v>
      </c>
      <c r="B86" s="36" t="s">
        <v>468</v>
      </c>
      <c r="C86" s="35" t="s">
        <v>37</v>
      </c>
      <c r="D86" s="37" t="s">
        <v>14</v>
      </c>
      <c r="E86" s="10" t="s">
        <v>15</v>
      </c>
      <c r="F86" s="39">
        <v>60025</v>
      </c>
      <c r="G86" s="39">
        <v>65000</v>
      </c>
      <c r="H86" s="39">
        <f>G86-F86</f>
      </c>
      <c r="I86" s="40">
        <f>IF(F86&gt;0,(G86-F86)/F86,0)</f>
      </c>
      <c r="J86" s="41" t="s">
        <v>469</v>
      </c>
    </row>
    <row r="87" ht="22" customHeight="1" spans="1:10" x14ac:dyDescent="0.25">
      <c r="A87" s="28">
        <v>83</v>
      </c>
      <c r="B87" s="29" t="s">
        <v>470</v>
      </c>
      <c r="C87" s="28" t="s">
        <v>37</v>
      </c>
      <c r="D87" s="30" t="s">
        <v>14</v>
      </c>
      <c r="E87" s="10" t="s">
        <v>15</v>
      </c>
      <c r="F87" s="32">
        <v>50025</v>
      </c>
      <c r="G87" s="32">
        <v>55000</v>
      </c>
      <c r="H87" s="32">
        <f>G87-F87</f>
      </c>
      <c r="I87" s="33">
        <f>IF(F87&gt;0,(G87-F87)/F87,0)</f>
      </c>
      <c r="J87" s="34" t="s">
        <v>471</v>
      </c>
    </row>
    <row r="88" ht="22" customHeight="1" spans="1:10" x14ac:dyDescent="0.25">
      <c r="A88" s="35">
        <v>84</v>
      </c>
      <c r="B88" s="36" t="s">
        <v>472</v>
      </c>
      <c r="C88" s="35" t="s">
        <v>37</v>
      </c>
      <c r="D88" s="37" t="s">
        <v>14</v>
      </c>
      <c r="E88" s="10" t="s">
        <v>15</v>
      </c>
      <c r="F88" s="39">
        <v>17755</v>
      </c>
      <c r="G88" s="39">
        <v>21000</v>
      </c>
      <c r="H88" s="39">
        <f>G88-F88</f>
      </c>
      <c r="I88" s="40">
        <f>IF(F88&gt;0,(G88-F88)/F88,0)</f>
      </c>
      <c r="J88" s="41" t="s">
        <v>473</v>
      </c>
    </row>
    <row r="89" ht="22" customHeight="1" spans="1:10" x14ac:dyDescent="0.25">
      <c r="A89" s="28">
        <v>85</v>
      </c>
      <c r="B89" s="29" t="s">
        <v>474</v>
      </c>
      <c r="C89" s="28" t="s">
        <v>37</v>
      </c>
      <c r="D89" s="30" t="s">
        <v>14</v>
      </c>
      <c r="E89" s="10" t="s">
        <v>15</v>
      </c>
      <c r="F89" s="32">
        <v>12740</v>
      </c>
      <c r="G89" s="32">
        <v>16000</v>
      </c>
      <c r="H89" s="32">
        <f>G89-F89</f>
      </c>
      <c r="I89" s="33">
        <f>IF(F89&gt;0,(G89-F89)/F89,0)</f>
      </c>
      <c r="J89" s="34" t="s">
        <v>475</v>
      </c>
    </row>
    <row r="90" ht="22" customHeight="1" spans="1:10" x14ac:dyDescent="0.25">
      <c r="A90" s="35">
        <v>86</v>
      </c>
      <c r="B90" s="36" t="s">
        <v>498</v>
      </c>
      <c r="C90" s="35" t="s">
        <v>37</v>
      </c>
      <c r="D90" s="37" t="s">
        <v>14</v>
      </c>
      <c r="E90" s="23" t="s">
        <v>21</v>
      </c>
      <c r="F90" s="39">
        <v>5000</v>
      </c>
      <c r="G90" s="39">
        <v>8000</v>
      </c>
      <c r="H90" s="39">
        <f>G90-F90</f>
      </c>
      <c r="I90" s="40">
        <f>IF(F90&gt;0,(G90-F90)/F90,0)</f>
      </c>
      <c r="J90" s="41" t="s">
        <v>38</v>
      </c>
    </row>
    <row r="91" ht="22" customHeight="1" spans="1:10" x14ac:dyDescent="0.25">
      <c r="A91" s="28">
        <v>87</v>
      </c>
      <c r="B91" s="29" t="s">
        <v>133</v>
      </c>
      <c r="C91" s="28" t="s">
        <v>37</v>
      </c>
      <c r="D91" s="30" t="s">
        <v>14</v>
      </c>
      <c r="E91" s="10" t="s">
        <v>15</v>
      </c>
      <c r="F91" s="32">
        <v>20000</v>
      </c>
      <c r="G91" s="32">
        <v>23000</v>
      </c>
      <c r="H91" s="32">
        <f>G91-F91</f>
      </c>
      <c r="I91" s="33">
        <f>IF(F91&gt;0,(G91-F91)/F91,0)</f>
      </c>
      <c r="J91" s="34" t="s">
        <v>134</v>
      </c>
    </row>
    <row r="92" ht="22" customHeight="1" spans="1:10" x14ac:dyDescent="0.25">
      <c r="A92" s="35">
        <v>88</v>
      </c>
      <c r="B92" s="36" t="s">
        <v>135</v>
      </c>
      <c r="C92" s="35" t="s">
        <v>37</v>
      </c>
      <c r="D92" s="37" t="s">
        <v>14</v>
      </c>
      <c r="E92" s="10" t="s">
        <v>15</v>
      </c>
      <c r="F92" s="39">
        <v>35000</v>
      </c>
      <c r="G92" s="39">
        <v>38000</v>
      </c>
      <c r="H92" s="39">
        <f>G92-F92</f>
      </c>
      <c r="I92" s="40">
        <f>IF(F92&gt;0,(G92-F92)/F92,0)</f>
      </c>
      <c r="J92" s="41" t="s">
        <v>136</v>
      </c>
    </row>
    <row r="93" ht="22" customHeight="1" spans="1:10" x14ac:dyDescent="0.25">
      <c r="A93" s="28">
        <v>89</v>
      </c>
      <c r="B93" s="29" t="s">
        <v>137</v>
      </c>
      <c r="C93" s="28" t="s">
        <v>37</v>
      </c>
      <c r="D93" s="30" t="s">
        <v>14</v>
      </c>
      <c r="E93" s="10" t="s">
        <v>15</v>
      </c>
      <c r="F93" s="32">
        <v>40000</v>
      </c>
      <c r="G93" s="32">
        <v>44000</v>
      </c>
      <c r="H93" s="32">
        <f>G93-F93</f>
      </c>
      <c r="I93" s="33">
        <f>IF(F93&gt;0,(G93-F93)/F93,0)</f>
      </c>
      <c r="J93" s="34" t="s">
        <v>138</v>
      </c>
    </row>
    <row r="94" ht="22" customHeight="1" spans="1:10" x14ac:dyDescent="0.25">
      <c r="A94" s="35">
        <v>90</v>
      </c>
      <c r="B94" s="36" t="s">
        <v>39</v>
      </c>
      <c r="C94" s="35" t="s">
        <v>37</v>
      </c>
      <c r="D94" s="43" t="s">
        <v>40</v>
      </c>
      <c r="E94" s="23" t="s">
        <v>21</v>
      </c>
      <c r="F94" s="39">
        <v>3750</v>
      </c>
      <c r="G94" s="39">
        <v>7000</v>
      </c>
      <c r="H94" s="39">
        <f>G94-F94</f>
      </c>
      <c r="I94" s="40">
        <f>IF(F94&gt;0,(G94-F94)/F94,0)</f>
      </c>
      <c r="J94" s="41" t="s">
        <v>41</v>
      </c>
    </row>
    <row r="95" ht="22" customHeight="1" spans="1:10" x14ac:dyDescent="0.25">
      <c r="A95" s="28">
        <v>91</v>
      </c>
      <c r="B95" s="29" t="s">
        <v>44</v>
      </c>
      <c r="C95" s="28" t="s">
        <v>37</v>
      </c>
      <c r="D95" s="42" t="s">
        <v>40</v>
      </c>
      <c r="E95" s="23" t="s">
        <v>21</v>
      </c>
      <c r="F95" s="32">
        <v>10250</v>
      </c>
      <c r="G95" s="32">
        <v>13000</v>
      </c>
      <c r="H95" s="32">
        <f>G95-F95</f>
      </c>
      <c r="I95" s="33">
        <f>IF(F95&gt;0,(G95-F95)/F95,0)</f>
      </c>
      <c r="J95" s="34" t="s">
        <v>45</v>
      </c>
    </row>
    <row r="96" ht="22" customHeight="1" spans="1:10" x14ac:dyDescent="0.25">
      <c r="A96" s="35">
        <v>92</v>
      </c>
      <c r="B96" s="36" t="s">
        <v>42</v>
      </c>
      <c r="C96" s="35" t="s">
        <v>37</v>
      </c>
      <c r="D96" s="43" t="s">
        <v>40</v>
      </c>
      <c r="E96" s="23" t="s">
        <v>21</v>
      </c>
      <c r="F96" s="39">
        <v>17000</v>
      </c>
      <c r="G96" s="39">
        <v>20000</v>
      </c>
      <c r="H96" s="39">
        <f>G96-F96</f>
      </c>
      <c r="I96" s="40">
        <f>IF(F96&gt;0,(G96-F96)/F96,0)</f>
      </c>
      <c r="J96" s="41" t="s">
        <v>43</v>
      </c>
    </row>
    <row r="97" ht="22" customHeight="1" spans="1:10" x14ac:dyDescent="0.25">
      <c r="A97" s="28">
        <v>93</v>
      </c>
      <c r="B97" s="29" t="s">
        <v>51</v>
      </c>
      <c r="C97" s="28" t="s">
        <v>37</v>
      </c>
      <c r="D97" s="42" t="s">
        <v>20</v>
      </c>
      <c r="E97" s="23" t="s">
        <v>21</v>
      </c>
      <c r="F97" s="32">
        <v>1300</v>
      </c>
      <c r="G97" s="32">
        <v>4000</v>
      </c>
      <c r="H97" s="32">
        <f>G97-F97</f>
      </c>
      <c r="I97" s="33">
        <f>IF(F97&gt;0,(G97-F97)/F97,0)</f>
      </c>
      <c r="J97" s="34" t="s">
        <v>52</v>
      </c>
    </row>
    <row r="98" ht="22" customHeight="1" spans="1:10" x14ac:dyDescent="0.25">
      <c r="A98" s="35">
        <v>94</v>
      </c>
      <c r="B98" s="36" t="s">
        <v>53</v>
      </c>
      <c r="C98" s="35" t="s">
        <v>37</v>
      </c>
      <c r="D98" s="43" t="s">
        <v>20</v>
      </c>
      <c r="E98" s="23" t="s">
        <v>21</v>
      </c>
      <c r="F98" s="39">
        <v>2500</v>
      </c>
      <c r="G98" s="39">
        <v>5000</v>
      </c>
      <c r="H98" s="39">
        <f>G98-F98</f>
      </c>
      <c r="I98" s="40">
        <f>IF(F98&gt;0,(G98-F98)/F98,0)</f>
      </c>
      <c r="J98" s="41" t="s">
        <v>54</v>
      </c>
    </row>
    <row r="99" ht="22" customHeight="1" spans="1:10" x14ac:dyDescent="0.25">
      <c r="A99" s="28">
        <v>95</v>
      </c>
      <c r="B99" s="29" t="s">
        <v>55</v>
      </c>
      <c r="C99" s="28" t="s">
        <v>37</v>
      </c>
      <c r="D99" s="30" t="s">
        <v>56</v>
      </c>
      <c r="E99" s="23" t="s">
        <v>21</v>
      </c>
      <c r="F99" s="32">
        <v>2300</v>
      </c>
      <c r="G99" s="32">
        <v>5000</v>
      </c>
      <c r="H99" s="32">
        <f>G99-F99</f>
      </c>
      <c r="I99" s="33">
        <f>IF(F99&gt;0,(G99-F99)/F99,0)</f>
      </c>
      <c r="J99" s="34" t="s">
        <v>57</v>
      </c>
    </row>
    <row r="100" ht="22" customHeight="1" spans="1:10" x14ac:dyDescent="0.25">
      <c r="A100" s="35">
        <v>96</v>
      </c>
      <c r="B100" s="36" t="s">
        <v>141</v>
      </c>
      <c r="C100" s="35" t="s">
        <v>37</v>
      </c>
      <c r="D100" s="37" t="s">
        <v>14</v>
      </c>
      <c r="E100" s="10" t="s">
        <v>15</v>
      </c>
      <c r="F100" s="39">
        <v>12500</v>
      </c>
      <c r="G100" s="39">
        <v>15000</v>
      </c>
      <c r="H100" s="39">
        <f>G100-F100</f>
      </c>
      <c r="I100" s="40">
        <f>IF(F100&gt;0,(G100-F100)/F100,0)</f>
      </c>
      <c r="J100" s="41" t="s">
        <v>142</v>
      </c>
    </row>
    <row r="101" ht="22" customHeight="1" spans="1:10" x14ac:dyDescent="0.25">
      <c r="A101" s="28">
        <v>97</v>
      </c>
      <c r="B101" s="29" t="s">
        <v>143</v>
      </c>
      <c r="C101" s="28" t="s">
        <v>37</v>
      </c>
      <c r="D101" s="30" t="s">
        <v>14</v>
      </c>
      <c r="E101" s="10" t="s">
        <v>15</v>
      </c>
      <c r="F101" s="32">
        <v>15500</v>
      </c>
      <c r="G101" s="32">
        <v>18000</v>
      </c>
      <c r="H101" s="32">
        <f>G101-F101</f>
      </c>
      <c r="I101" s="33">
        <f>IF(F101&gt;0,(G101-F101)/F101,0)</f>
      </c>
      <c r="J101" s="34" t="s">
        <v>144</v>
      </c>
    </row>
    <row r="102" ht="22" customHeight="1" spans="1:10" x14ac:dyDescent="0.25">
      <c r="A102" s="35">
        <v>98</v>
      </c>
      <c r="B102" s="36" t="s">
        <v>151</v>
      </c>
      <c r="C102" s="35" t="s">
        <v>37</v>
      </c>
      <c r="D102" s="37" t="s">
        <v>56</v>
      </c>
      <c r="E102" s="10" t="s">
        <v>15</v>
      </c>
      <c r="F102" s="39">
        <v>15500</v>
      </c>
      <c r="G102" s="39">
        <v>18000</v>
      </c>
      <c r="H102" s="39">
        <f>G102-F102</f>
      </c>
      <c r="I102" s="40">
        <f>IF(F102&gt;0,(G102-F102)/F102,0)</f>
      </c>
      <c r="J102" s="41" t="s">
        <v>152</v>
      </c>
    </row>
    <row r="103" ht="22" customHeight="1" spans="1:10" x14ac:dyDescent="0.25">
      <c r="A103" s="28">
        <v>99</v>
      </c>
      <c r="B103" s="29" t="s">
        <v>153</v>
      </c>
      <c r="C103" s="28" t="s">
        <v>37</v>
      </c>
      <c r="D103" s="30" t="s">
        <v>56</v>
      </c>
      <c r="E103" s="10" t="s">
        <v>15</v>
      </c>
      <c r="F103" s="32">
        <v>18500</v>
      </c>
      <c r="G103" s="32">
        <v>21000</v>
      </c>
      <c r="H103" s="32">
        <f>G103-F103</f>
      </c>
      <c r="I103" s="33">
        <f>IF(F103&gt;0,(G103-F103)/F103,0)</f>
      </c>
      <c r="J103" s="34" t="s">
        <v>154</v>
      </c>
    </row>
    <row r="104" ht="22" customHeight="1" spans="1:10" x14ac:dyDescent="0.25">
      <c r="A104" s="35">
        <v>100</v>
      </c>
      <c r="B104" s="36" t="s">
        <v>147</v>
      </c>
      <c r="C104" s="35" t="s">
        <v>37</v>
      </c>
      <c r="D104" s="43" t="s">
        <v>20</v>
      </c>
      <c r="E104" s="10" t="s">
        <v>15</v>
      </c>
      <c r="F104" s="39">
        <v>12500</v>
      </c>
      <c r="G104" s="39">
        <v>15000</v>
      </c>
      <c r="H104" s="39">
        <f>G104-F104</f>
      </c>
      <c r="I104" s="40">
        <f>IF(F104&gt;0,(G104-F104)/F104,0)</f>
      </c>
      <c r="J104" s="41" t="s">
        <v>148</v>
      </c>
    </row>
    <row r="105" ht="22" customHeight="1" spans="1:10" x14ac:dyDescent="0.25">
      <c r="A105" s="28">
        <v>101</v>
      </c>
      <c r="B105" s="29" t="s">
        <v>46</v>
      </c>
      <c r="C105" s="28" t="s">
        <v>37</v>
      </c>
      <c r="D105" s="42" t="s">
        <v>47</v>
      </c>
      <c r="E105" s="23" t="s">
        <v>21</v>
      </c>
      <c r="F105" s="32">
        <v>11500</v>
      </c>
      <c r="G105" s="32">
        <v>14000</v>
      </c>
      <c r="H105" s="32">
        <f>G105-F105</f>
      </c>
      <c r="I105" s="33">
        <f>IF(F105&gt;0,(G105-F105)/F105,0)</f>
      </c>
      <c r="J105" s="34" t="s">
        <v>48</v>
      </c>
    </row>
    <row r="106" ht="22" customHeight="1" spans="1:10" x14ac:dyDescent="0.25">
      <c r="A106" s="35">
        <v>102</v>
      </c>
      <c r="B106" s="36" t="s">
        <v>139</v>
      </c>
      <c r="C106" s="35" t="s">
        <v>37</v>
      </c>
      <c r="D106" s="37" t="s">
        <v>14</v>
      </c>
      <c r="E106" s="10" t="s">
        <v>15</v>
      </c>
      <c r="F106" s="39">
        <v>1200</v>
      </c>
      <c r="G106" s="39">
        <v>4000</v>
      </c>
      <c r="H106" s="39">
        <f>G106-F106</f>
      </c>
      <c r="I106" s="40">
        <f>IF(F106&gt;0,(G106-F106)/F106,0)</f>
      </c>
      <c r="J106" s="41" t="s">
        <v>140</v>
      </c>
    </row>
    <row r="107" ht="22" customHeight="1" spans="1:10" x14ac:dyDescent="0.25">
      <c r="A107" s="28">
        <v>103</v>
      </c>
      <c r="B107" s="29" t="s">
        <v>149</v>
      </c>
      <c r="C107" s="28" t="s">
        <v>37</v>
      </c>
      <c r="D107" s="30" t="s">
        <v>56</v>
      </c>
      <c r="E107" s="10" t="s">
        <v>15</v>
      </c>
      <c r="F107" s="32">
        <v>18000</v>
      </c>
      <c r="G107" s="32">
        <v>21000</v>
      </c>
      <c r="H107" s="32">
        <f>G107-F107</f>
      </c>
      <c r="I107" s="33">
        <f>IF(F107&gt;0,(G107-F107)/F107,0)</f>
      </c>
      <c r="J107" s="34" t="s">
        <v>150</v>
      </c>
    </row>
    <row r="108" ht="22" customHeight="1" spans="1:10" x14ac:dyDescent="0.25">
      <c r="A108" s="35">
        <v>104</v>
      </c>
      <c r="B108" s="36" t="s">
        <v>145</v>
      </c>
      <c r="C108" s="35" t="s">
        <v>37</v>
      </c>
      <c r="D108" s="43" t="s">
        <v>20</v>
      </c>
      <c r="E108" s="10" t="s">
        <v>15</v>
      </c>
      <c r="F108" s="39">
        <v>15000</v>
      </c>
      <c r="G108" s="39">
        <v>18000</v>
      </c>
      <c r="H108" s="39">
        <f>G108-F108</f>
      </c>
      <c r="I108" s="40">
        <f>IF(F108&gt;0,(G108-F108)/F108,0)</f>
      </c>
      <c r="J108" s="41" t="s">
        <v>146</v>
      </c>
    </row>
    <row r="109" ht="22" customHeight="1" spans="1:10" x14ac:dyDescent="0.25">
      <c r="A109" s="28">
        <v>105</v>
      </c>
      <c r="B109" s="29" t="s">
        <v>49</v>
      </c>
      <c r="C109" s="28" t="s">
        <v>37</v>
      </c>
      <c r="D109" s="30" t="s">
        <v>14</v>
      </c>
      <c r="E109" s="10" t="s">
        <v>15</v>
      </c>
      <c r="F109" s="32">
        <v>5000</v>
      </c>
      <c r="G109" s="32">
        <v>8000</v>
      </c>
      <c r="H109" s="32">
        <f>G109-F109</f>
      </c>
      <c r="I109" s="33">
        <f>IF(F109&gt;0,(G109-F109)/F109,0)</f>
      </c>
      <c r="J109" s="34" t="s">
        <v>50</v>
      </c>
    </row>
    <row r="110" ht="22" customHeight="1" spans="1:10" x14ac:dyDescent="0.25">
      <c r="A110" s="35">
        <v>106</v>
      </c>
      <c r="B110" s="36" t="s">
        <v>74</v>
      </c>
      <c r="C110" s="35" t="s">
        <v>37</v>
      </c>
      <c r="D110" s="37" t="s">
        <v>14</v>
      </c>
      <c r="E110" s="23" t="s">
        <v>21</v>
      </c>
      <c r="F110" s="39">
        <v>6500</v>
      </c>
      <c r="G110" s="39">
        <v>9000</v>
      </c>
      <c r="H110" s="39">
        <f>G110-F110</f>
      </c>
      <c r="I110" s="40">
        <f>IF(F110&gt;0,(G110-F110)/F110,0)</f>
      </c>
      <c r="J110" s="41" t="s">
        <v>75</v>
      </c>
    </row>
    <row r="111" ht="22" customHeight="1" spans="1:10" x14ac:dyDescent="0.25">
      <c r="A111" s="28">
        <v>107</v>
      </c>
      <c r="B111" s="29" t="s">
        <v>70</v>
      </c>
      <c r="C111" s="28" t="s">
        <v>37</v>
      </c>
      <c r="D111" s="30" t="s">
        <v>14</v>
      </c>
      <c r="E111" s="10" t="s">
        <v>15</v>
      </c>
      <c r="F111" s="32">
        <v>9800</v>
      </c>
      <c r="G111" s="32">
        <v>13000</v>
      </c>
      <c r="H111" s="32">
        <f>G111-F111</f>
      </c>
      <c r="I111" s="33">
        <f>IF(F111&gt;0,(G111-F111)/F111,0)</f>
      </c>
      <c r="J111" s="34" t="s">
        <v>71</v>
      </c>
    </row>
    <row r="112" ht="22" customHeight="1" spans="1:10" x14ac:dyDescent="0.25">
      <c r="A112" s="35">
        <v>108</v>
      </c>
      <c r="B112" s="36" t="s">
        <v>331</v>
      </c>
      <c r="C112" s="35" t="s">
        <v>37</v>
      </c>
      <c r="D112" s="37" t="s">
        <v>14</v>
      </c>
      <c r="E112" s="10" t="s">
        <v>15</v>
      </c>
      <c r="F112" s="39">
        <v>16800</v>
      </c>
      <c r="G112" s="39">
        <v>20000</v>
      </c>
      <c r="H112" s="39">
        <f>G112-F112</f>
      </c>
      <c r="I112" s="40">
        <f>IF(F112&gt;0,(G112-F112)/F112,0)</f>
      </c>
      <c r="J112" s="41" t="s">
        <v>333</v>
      </c>
    </row>
    <row r="113" ht="22" customHeight="1" spans="1:10" x14ac:dyDescent="0.25">
      <c r="A113" s="28">
        <v>109</v>
      </c>
      <c r="B113" s="29" t="s">
        <v>334</v>
      </c>
      <c r="C113" s="28" t="s">
        <v>37</v>
      </c>
      <c r="D113" s="30" t="s">
        <v>14</v>
      </c>
      <c r="E113" s="10" t="s">
        <v>15</v>
      </c>
      <c r="F113" s="32">
        <v>13000</v>
      </c>
      <c r="G113" s="32">
        <v>16000</v>
      </c>
      <c r="H113" s="32">
        <f>G113-F113</f>
      </c>
      <c r="I113" s="33">
        <f>IF(F113&gt;0,(G113-F113)/F113,0)</f>
      </c>
      <c r="J113" s="34" t="s">
        <v>335</v>
      </c>
    </row>
    <row r="114" ht="22" customHeight="1" spans="1:10" x14ac:dyDescent="0.25">
      <c r="A114" s="35">
        <v>110</v>
      </c>
      <c r="B114" s="36" t="s">
        <v>83</v>
      </c>
      <c r="C114" s="35" t="s">
        <v>37</v>
      </c>
      <c r="D114" s="43" t="s">
        <v>40</v>
      </c>
      <c r="E114" s="10" t="s">
        <v>15</v>
      </c>
      <c r="F114" s="39">
        <v>13000</v>
      </c>
      <c r="G114" s="39">
        <v>16000</v>
      </c>
      <c r="H114" s="39">
        <f>G114-F114</f>
      </c>
      <c r="I114" s="40">
        <f>IF(F114&gt;0,(G114-F114)/F114,0)</f>
      </c>
      <c r="J114" s="41" t="s">
        <v>84</v>
      </c>
    </row>
    <row r="115" ht="22" customHeight="1" spans="1:10" x14ac:dyDescent="0.25">
      <c r="A115" s="28">
        <v>111</v>
      </c>
      <c r="B115" s="29" t="s">
        <v>80</v>
      </c>
      <c r="C115" s="28" t="s">
        <v>37</v>
      </c>
      <c r="D115" s="42" t="s">
        <v>40</v>
      </c>
      <c r="E115" s="10" t="s">
        <v>15</v>
      </c>
      <c r="F115" s="32">
        <v>16000</v>
      </c>
      <c r="G115" s="32">
        <v>19000</v>
      </c>
      <c r="H115" s="32">
        <f>G115-F115</f>
      </c>
      <c r="I115" s="33">
        <f>IF(F115&gt;0,(G115-F115)/F115,0)</f>
      </c>
      <c r="J115" s="34" t="s">
        <v>82</v>
      </c>
    </row>
    <row r="116" ht="22" customHeight="1" spans="1:10" x14ac:dyDescent="0.25">
      <c r="A116" s="35">
        <v>112</v>
      </c>
      <c r="B116" s="36" t="s">
        <v>76</v>
      </c>
      <c r="C116" s="35" t="s">
        <v>37</v>
      </c>
      <c r="D116" s="43" t="s">
        <v>40</v>
      </c>
      <c r="E116" s="10" t="s">
        <v>15</v>
      </c>
      <c r="F116" s="39">
        <v>11000</v>
      </c>
      <c r="G116" s="39">
        <v>14000</v>
      </c>
      <c r="H116" s="39">
        <f>G116-F116</f>
      </c>
      <c r="I116" s="40">
        <f>IF(F116&gt;0,(G116-F116)/F116,0)</f>
      </c>
      <c r="J116" s="41" t="s">
        <v>77</v>
      </c>
    </row>
    <row r="117" ht="22" customHeight="1" spans="1:10" x14ac:dyDescent="0.25">
      <c r="A117" s="28">
        <v>113</v>
      </c>
      <c r="B117" s="29" t="s">
        <v>80</v>
      </c>
      <c r="C117" s="28" t="s">
        <v>37</v>
      </c>
      <c r="D117" s="42" t="s">
        <v>40</v>
      </c>
      <c r="E117" s="10" t="s">
        <v>15</v>
      </c>
      <c r="F117" s="32">
        <v>16500</v>
      </c>
      <c r="G117" s="32">
        <v>19000</v>
      </c>
      <c r="H117" s="32">
        <f>G117-F117</f>
      </c>
      <c r="I117" s="33">
        <f>IF(F117&gt;0,(G117-F117)/F117,0)</f>
      </c>
      <c r="J117" s="34" t="s">
        <v>81</v>
      </c>
    </row>
    <row r="118" ht="22" customHeight="1" spans="1:10" x14ac:dyDescent="0.25">
      <c r="A118" s="35">
        <v>114</v>
      </c>
      <c r="B118" s="36" t="s">
        <v>78</v>
      </c>
      <c r="C118" s="35" t="s">
        <v>37</v>
      </c>
      <c r="D118" s="43" t="s">
        <v>40</v>
      </c>
      <c r="E118" s="10" t="s">
        <v>15</v>
      </c>
      <c r="F118" s="39">
        <v>15000</v>
      </c>
      <c r="G118" s="39">
        <v>18000</v>
      </c>
      <c r="H118" s="39">
        <f>G118-F118</f>
      </c>
      <c r="I118" s="40">
        <f>IF(F118&gt;0,(G118-F118)/F118,0)</f>
      </c>
      <c r="J118" s="41" t="s">
        <v>79</v>
      </c>
    </row>
    <row r="119" ht="22" customHeight="1" spans="1:10" x14ac:dyDescent="0.25">
      <c r="A119" s="28">
        <v>115</v>
      </c>
      <c r="B119" s="29" t="s">
        <v>331</v>
      </c>
      <c r="C119" s="28" t="s">
        <v>37</v>
      </c>
      <c r="D119" s="30" t="s">
        <v>14</v>
      </c>
      <c r="E119" s="10" t="s">
        <v>15</v>
      </c>
      <c r="F119" s="32">
        <v>30000</v>
      </c>
      <c r="G119" s="32">
        <v>33000</v>
      </c>
      <c r="H119" s="32">
        <f>G119-F119</f>
      </c>
      <c r="I119" s="33">
        <f>IF(F119&gt;0,(G119-F119)/F119,0)</f>
      </c>
      <c r="J119" s="34" t="s">
        <v>332</v>
      </c>
    </row>
    <row r="120" ht="22" customHeight="1" spans="1:10" x14ac:dyDescent="0.25">
      <c r="A120" s="35">
        <v>116</v>
      </c>
      <c r="B120" s="36" t="s">
        <v>72</v>
      </c>
      <c r="C120" s="35" t="s">
        <v>37</v>
      </c>
      <c r="D120" s="37" t="s">
        <v>14</v>
      </c>
      <c r="E120" s="23" t="s">
        <v>21</v>
      </c>
      <c r="F120" s="39">
        <v>34000</v>
      </c>
      <c r="G120" s="39">
        <v>37000</v>
      </c>
      <c r="H120" s="39">
        <f>G120-F120</f>
      </c>
      <c r="I120" s="40">
        <f>IF(F120&gt;0,(G120-F120)/F120,0)</f>
      </c>
      <c r="J120" s="41" t="s">
        <v>73</v>
      </c>
    </row>
    <row r="121" ht="22" customHeight="1" spans="1:10" x14ac:dyDescent="0.25">
      <c r="A121" s="28">
        <v>117</v>
      </c>
      <c r="B121" s="29" t="s">
        <v>12</v>
      </c>
      <c r="C121" s="28" t="s">
        <v>37</v>
      </c>
      <c r="D121" s="30" t="s">
        <v>14</v>
      </c>
      <c r="E121" s="10" t="s">
        <v>15</v>
      </c>
      <c r="F121" s="32">
        <v>20000</v>
      </c>
      <c r="G121" s="32">
        <v>23000</v>
      </c>
      <c r="H121" s="32">
        <f>G121-F121</f>
      </c>
      <c r="I121" s="33">
        <f>IF(F121&gt;0,(G121-F121)/F121,0)</f>
      </c>
      <c r="J121" s="34" t="s">
        <v>16</v>
      </c>
    </row>
    <row r="122" ht="22" customHeight="1" spans="1:10" x14ac:dyDescent="0.25">
      <c r="A122" s="35">
        <v>118</v>
      </c>
      <c r="B122" s="36" t="s">
        <v>17</v>
      </c>
      <c r="C122" s="35" t="s">
        <v>37</v>
      </c>
      <c r="D122" s="37" t="s">
        <v>14</v>
      </c>
      <c r="E122" s="10" t="s">
        <v>15</v>
      </c>
      <c r="F122" s="39">
        <v>30000</v>
      </c>
      <c r="G122" s="39">
        <v>33000</v>
      </c>
      <c r="H122" s="39">
        <f>G122-F122</f>
      </c>
      <c r="I122" s="40">
        <f>IF(F122&gt;0,(G122-F122)/F122,0)</f>
      </c>
      <c r="J122" s="41" t="s">
        <v>18</v>
      </c>
    </row>
    <row r="123" ht="22" customHeight="1" spans="1:10" x14ac:dyDescent="0.25">
      <c r="A123" s="28">
        <v>119</v>
      </c>
      <c r="B123" s="29" t="s">
        <v>235</v>
      </c>
      <c r="C123" s="28" t="s">
        <v>37</v>
      </c>
      <c r="D123" s="30" t="s">
        <v>14</v>
      </c>
      <c r="E123" s="10" t="s">
        <v>15</v>
      </c>
      <c r="F123" s="32">
        <v>13500</v>
      </c>
      <c r="G123" s="32">
        <v>16000</v>
      </c>
      <c r="H123" s="32">
        <f>G123-F123</f>
      </c>
      <c r="I123" s="33">
        <f>IF(F123&gt;0,(G123-F123)/F123,0)</f>
      </c>
      <c r="J123" s="34" t="s">
        <v>236</v>
      </c>
    </row>
    <row r="124" ht="22" customHeight="1" spans="1:10" x14ac:dyDescent="0.25">
      <c r="A124" s="35">
        <v>120</v>
      </c>
      <c r="B124" s="36" t="s">
        <v>233</v>
      </c>
      <c r="C124" s="35" t="s">
        <v>37</v>
      </c>
      <c r="D124" s="37" t="s">
        <v>14</v>
      </c>
      <c r="E124" s="10" t="s">
        <v>15</v>
      </c>
      <c r="F124" s="39">
        <v>21500</v>
      </c>
      <c r="G124" s="39">
        <v>24000</v>
      </c>
      <c r="H124" s="39">
        <f>G124-F124</f>
      </c>
      <c r="I124" s="40">
        <f>IF(F124&gt;0,(G124-F124)/F124,0)</f>
      </c>
      <c r="J124" s="41" t="s">
        <v>234</v>
      </c>
    </row>
    <row r="125" ht="22" customHeight="1" spans="1:10" x14ac:dyDescent="0.25">
      <c r="A125" s="28">
        <v>121</v>
      </c>
      <c r="B125" s="29" t="s">
        <v>64</v>
      </c>
      <c r="C125" s="28" t="s">
        <v>37</v>
      </c>
      <c r="D125" s="30" t="s">
        <v>14</v>
      </c>
      <c r="E125" s="10" t="s">
        <v>15</v>
      </c>
      <c r="F125" s="32">
        <v>47000</v>
      </c>
      <c r="G125" s="32">
        <v>51000</v>
      </c>
      <c r="H125" s="32">
        <f>G125-F125</f>
      </c>
      <c r="I125" s="33">
        <f>IF(F125&gt;0,(G125-F125)/F125,0)</f>
      </c>
      <c r="J125" s="34" t="s">
        <v>65</v>
      </c>
    </row>
    <row r="126" ht="22" customHeight="1" spans="1:10" x14ac:dyDescent="0.25">
      <c r="A126" s="35">
        <v>122</v>
      </c>
      <c r="B126" s="36" t="s">
        <v>296</v>
      </c>
      <c r="C126" s="35" t="s">
        <v>37</v>
      </c>
      <c r="D126" s="43" t="s">
        <v>40</v>
      </c>
      <c r="E126" s="10" t="s">
        <v>15</v>
      </c>
      <c r="F126" s="39">
        <v>20000</v>
      </c>
      <c r="G126" s="39">
        <v>23000</v>
      </c>
      <c r="H126" s="39">
        <f>G126-F126</f>
      </c>
      <c r="I126" s="40">
        <f>IF(F126&gt;0,(G126-F126)/F126,0)</f>
      </c>
      <c r="J126" s="41" t="s">
        <v>297</v>
      </c>
    </row>
    <row r="127" ht="22" customHeight="1" spans="1:10" x14ac:dyDescent="0.25">
      <c r="A127" s="28">
        <v>123</v>
      </c>
      <c r="B127" s="29" t="s">
        <v>283</v>
      </c>
      <c r="C127" s="28" t="s">
        <v>37</v>
      </c>
      <c r="D127" s="30" t="s">
        <v>14</v>
      </c>
      <c r="E127" s="10" t="s">
        <v>15</v>
      </c>
      <c r="F127" s="32">
        <v>49000</v>
      </c>
      <c r="G127" s="32">
        <v>53000</v>
      </c>
      <c r="H127" s="32">
        <f>G127-F127</f>
      </c>
      <c r="I127" s="33">
        <f>IF(F127&gt;0,(G127-F127)/F127,0)</f>
      </c>
      <c r="J127" s="34" t="s">
        <v>284</v>
      </c>
    </row>
    <row r="128" ht="22" customHeight="1" spans="1:10" x14ac:dyDescent="0.25">
      <c r="A128" s="35">
        <v>124</v>
      </c>
      <c r="B128" s="36" t="s">
        <v>281</v>
      </c>
      <c r="C128" s="35" t="s">
        <v>37</v>
      </c>
      <c r="D128" s="37" t="s">
        <v>14</v>
      </c>
      <c r="E128" s="10" t="s">
        <v>15</v>
      </c>
      <c r="F128" s="39">
        <v>79000</v>
      </c>
      <c r="G128" s="39">
        <v>86000</v>
      </c>
      <c r="H128" s="39">
        <f>G128-F128</f>
      </c>
      <c r="I128" s="40">
        <f>IF(F128&gt;0,(G128-F128)/F128,0)</f>
      </c>
      <c r="J128" s="41" t="s">
        <v>282</v>
      </c>
    </row>
    <row r="129" ht="22" customHeight="1" spans="1:10" x14ac:dyDescent="0.25">
      <c r="A129" s="28">
        <v>125</v>
      </c>
      <c r="B129" s="29" t="s">
        <v>346</v>
      </c>
      <c r="C129" s="28" t="s">
        <v>37</v>
      </c>
      <c r="D129" s="30" t="s">
        <v>14</v>
      </c>
      <c r="E129" s="10" t="s">
        <v>15</v>
      </c>
      <c r="F129" s="32">
        <v>22000</v>
      </c>
      <c r="G129" s="32">
        <v>25000</v>
      </c>
      <c r="H129" s="32">
        <f>G129-F129</f>
      </c>
      <c r="I129" s="33">
        <f>IF(F129&gt;0,(G129-F129)/F129,0)</f>
      </c>
      <c r="J129" s="34" t="s">
        <v>347</v>
      </c>
    </row>
    <row r="130" ht="22" customHeight="1" spans="1:10" x14ac:dyDescent="0.25">
      <c r="A130" s="35">
        <v>126</v>
      </c>
      <c r="B130" s="36" t="s">
        <v>348</v>
      </c>
      <c r="C130" s="35" t="s">
        <v>37</v>
      </c>
      <c r="D130" s="37" t="s">
        <v>14</v>
      </c>
      <c r="E130" s="10" t="s">
        <v>15</v>
      </c>
      <c r="F130" s="39">
        <v>37000</v>
      </c>
      <c r="G130" s="39">
        <v>40000</v>
      </c>
      <c r="H130" s="39">
        <f>G130-F130</f>
      </c>
      <c r="I130" s="40">
        <f>IF(F130&gt;0,(G130-F130)/F130,0)</f>
      </c>
      <c r="J130" s="41" t="s">
        <v>349</v>
      </c>
    </row>
    <row r="131" ht="22" customHeight="1" spans="1:10" x14ac:dyDescent="0.25">
      <c r="A131" s="28">
        <v>127</v>
      </c>
      <c r="B131" s="29" t="s">
        <v>62</v>
      </c>
      <c r="C131" s="28" t="s">
        <v>37</v>
      </c>
      <c r="D131" s="30" t="s">
        <v>14</v>
      </c>
      <c r="E131" s="10" t="s">
        <v>15</v>
      </c>
      <c r="F131" s="32">
        <v>70000</v>
      </c>
      <c r="G131" s="32">
        <v>76000</v>
      </c>
      <c r="H131" s="32">
        <f>G131-F131</f>
      </c>
      <c r="I131" s="33">
        <f>IF(F131&gt;0,(G131-F131)/F131,0)</f>
      </c>
      <c r="J131" s="34" t="s">
        <v>63</v>
      </c>
    </row>
    <row r="132" ht="22" customHeight="1" spans="1:10" x14ac:dyDescent="0.25">
      <c r="A132" s="35">
        <v>128</v>
      </c>
      <c r="B132" s="36" t="s">
        <v>62</v>
      </c>
      <c r="C132" s="35" t="s">
        <v>37</v>
      </c>
      <c r="D132" s="37" t="s">
        <v>14</v>
      </c>
      <c r="E132" s="10" t="s">
        <v>15</v>
      </c>
      <c r="F132" s="39">
        <v>70000</v>
      </c>
      <c r="G132" s="39">
        <v>76000</v>
      </c>
      <c r="H132" s="39">
        <f>G132-F132</f>
      </c>
      <c r="I132" s="40">
        <f>IF(F132&gt;0,(G132-F132)/F132,0)</f>
      </c>
      <c r="J132" s="41" t="s">
        <v>287</v>
      </c>
    </row>
    <row r="133" ht="22" customHeight="1" spans="1:10" x14ac:dyDescent="0.25">
      <c r="A133" s="28">
        <v>129</v>
      </c>
      <c r="B133" s="29" t="s">
        <v>292</v>
      </c>
      <c r="C133" s="28" t="s">
        <v>37</v>
      </c>
      <c r="D133" s="30" t="s">
        <v>14</v>
      </c>
      <c r="E133" s="10" t="s">
        <v>15</v>
      </c>
      <c r="F133" s="32">
        <v>55000</v>
      </c>
      <c r="G133" s="32">
        <v>60000</v>
      </c>
      <c r="H133" s="32">
        <f>G133-F133</f>
      </c>
      <c r="I133" s="33">
        <f>IF(F133&gt;0,(G133-F133)/F133,0)</f>
      </c>
      <c r="J133" s="34" t="s">
        <v>293</v>
      </c>
    </row>
    <row r="134" ht="22" customHeight="1" spans="1:10" x14ac:dyDescent="0.25">
      <c r="A134" s="35">
        <v>130</v>
      </c>
      <c r="B134" s="36" t="s">
        <v>288</v>
      </c>
      <c r="C134" s="35" t="s">
        <v>37</v>
      </c>
      <c r="D134" s="37" t="s">
        <v>14</v>
      </c>
      <c r="E134" s="10" t="s">
        <v>15</v>
      </c>
      <c r="F134" s="39">
        <v>50000</v>
      </c>
      <c r="G134" s="39">
        <v>54000</v>
      </c>
      <c r="H134" s="39">
        <f>G134-F134</f>
      </c>
      <c r="I134" s="40">
        <f>IF(F134&gt;0,(G134-F134)/F134,0)</f>
      </c>
      <c r="J134" s="41" t="s">
        <v>289</v>
      </c>
    </row>
    <row r="135" ht="22" customHeight="1" spans="1:10" x14ac:dyDescent="0.25">
      <c r="A135" s="28">
        <v>131</v>
      </c>
      <c r="B135" s="29" t="s">
        <v>285</v>
      </c>
      <c r="C135" s="28" t="s">
        <v>37</v>
      </c>
      <c r="D135" s="30" t="s">
        <v>14</v>
      </c>
      <c r="E135" s="10" t="s">
        <v>15</v>
      </c>
      <c r="F135" s="32">
        <v>85000</v>
      </c>
      <c r="G135" s="32">
        <v>92000</v>
      </c>
      <c r="H135" s="32">
        <f>G135-F135</f>
      </c>
      <c r="I135" s="33">
        <f>IF(F135&gt;0,(G135-F135)/F135,0)</f>
      </c>
      <c r="J135" s="34" t="s">
        <v>286</v>
      </c>
    </row>
    <row r="136" ht="22" customHeight="1" spans="1:10" x14ac:dyDescent="0.25">
      <c r="A136" s="35">
        <v>132</v>
      </c>
      <c r="B136" s="36" t="s">
        <v>66</v>
      </c>
      <c r="C136" s="35" t="s">
        <v>37</v>
      </c>
      <c r="D136" s="37" t="s">
        <v>14</v>
      </c>
      <c r="E136" s="10" t="s">
        <v>15</v>
      </c>
      <c r="F136" s="39">
        <v>50000</v>
      </c>
      <c r="G136" s="39">
        <v>54000</v>
      </c>
      <c r="H136" s="39">
        <f>G136-F136</f>
      </c>
      <c r="I136" s="40">
        <f>IF(F136&gt;0,(G136-F136)/F136,0)</f>
      </c>
      <c r="J136" s="41" t="s">
        <v>67</v>
      </c>
    </row>
    <row r="137" ht="22" customHeight="1" spans="1:10" x14ac:dyDescent="0.25">
      <c r="A137" s="28">
        <v>133</v>
      </c>
      <c r="B137" s="29" t="s">
        <v>300</v>
      </c>
      <c r="C137" s="28" t="s">
        <v>37</v>
      </c>
      <c r="D137" s="30" t="s">
        <v>14</v>
      </c>
      <c r="E137" s="10" t="s">
        <v>15</v>
      </c>
      <c r="F137" s="32">
        <v>65000</v>
      </c>
      <c r="G137" s="32">
        <v>71000</v>
      </c>
      <c r="H137" s="32">
        <f>G137-F137</f>
      </c>
      <c r="I137" s="33">
        <f>IF(F137&gt;0,(G137-F137)/F137,0)</f>
      </c>
      <c r="J137" s="34" t="s">
        <v>301</v>
      </c>
    </row>
    <row r="138" ht="22" customHeight="1" spans="1:10" x14ac:dyDescent="0.25">
      <c r="A138" s="35">
        <v>134</v>
      </c>
      <c r="B138" s="36" t="s">
        <v>298</v>
      </c>
      <c r="C138" s="35" t="s">
        <v>37</v>
      </c>
      <c r="D138" s="37" t="s">
        <v>14</v>
      </c>
      <c r="E138" s="10" t="s">
        <v>15</v>
      </c>
      <c r="F138" s="39">
        <v>90000</v>
      </c>
      <c r="G138" s="39">
        <v>98000</v>
      </c>
      <c r="H138" s="39">
        <f>G138-F138</f>
      </c>
      <c r="I138" s="40">
        <f>IF(F138&gt;0,(G138-F138)/F138,0)</f>
      </c>
      <c r="J138" s="41" t="s">
        <v>299</v>
      </c>
    </row>
    <row r="139" ht="22" customHeight="1" spans="1:10" x14ac:dyDescent="0.25">
      <c r="A139" s="28">
        <v>135</v>
      </c>
      <c r="B139" s="29" t="s">
        <v>290</v>
      </c>
      <c r="C139" s="28" t="s">
        <v>37</v>
      </c>
      <c r="D139" s="30" t="s">
        <v>14</v>
      </c>
      <c r="E139" s="10" t="s">
        <v>15</v>
      </c>
      <c r="F139" s="32">
        <v>212500</v>
      </c>
      <c r="G139" s="32">
        <v>230000</v>
      </c>
      <c r="H139" s="32">
        <f>G139-F139</f>
      </c>
      <c r="I139" s="33">
        <f>IF(F139&gt;0,(G139-F139)/F139,0)</f>
      </c>
      <c r="J139" s="34" t="s">
        <v>291</v>
      </c>
    </row>
    <row r="140" ht="22" customHeight="1" spans="1:10" x14ac:dyDescent="0.25">
      <c r="A140" s="35">
        <v>136</v>
      </c>
      <c r="B140" s="36" t="s">
        <v>294</v>
      </c>
      <c r="C140" s="35" t="s">
        <v>37</v>
      </c>
      <c r="D140" s="37" t="s">
        <v>14</v>
      </c>
      <c r="E140" s="10" t="s">
        <v>15</v>
      </c>
      <c r="F140" s="39">
        <v>237500</v>
      </c>
      <c r="G140" s="39">
        <v>257000</v>
      </c>
      <c r="H140" s="39">
        <f>G140-F140</f>
      </c>
      <c r="I140" s="40">
        <f>IF(F140&gt;0,(G140-F140)/F140,0)</f>
      </c>
      <c r="J140" s="41" t="s">
        <v>295</v>
      </c>
    </row>
    <row r="141" ht="22" customHeight="1" spans="1:10" x14ac:dyDescent="0.25">
      <c r="A141" s="28">
        <v>137</v>
      </c>
      <c r="B141" s="29" t="s">
        <v>155</v>
      </c>
      <c r="C141" s="28" t="s">
        <v>37</v>
      </c>
      <c r="D141" s="42" t="s">
        <v>40</v>
      </c>
      <c r="E141" s="10" t="s">
        <v>15</v>
      </c>
      <c r="F141" s="32">
        <v>20000</v>
      </c>
      <c r="G141" s="32">
        <v>23000</v>
      </c>
      <c r="H141" s="32">
        <f>G141-F141</f>
      </c>
      <c r="I141" s="33">
        <f>IF(F141&gt;0,(G141-F141)/F141,0)</f>
      </c>
      <c r="J141" s="34" t="s">
        <v>156</v>
      </c>
    </row>
    <row r="142" ht="22" customHeight="1" spans="1:10" x14ac:dyDescent="0.25">
      <c r="A142" s="35">
        <v>138</v>
      </c>
      <c r="B142" s="36" t="s">
        <v>167</v>
      </c>
      <c r="C142" s="35" t="s">
        <v>37</v>
      </c>
      <c r="D142" s="43" t="s">
        <v>40</v>
      </c>
      <c r="E142" s="10" t="s">
        <v>15</v>
      </c>
      <c r="F142" s="39">
        <v>10000</v>
      </c>
      <c r="G142" s="39">
        <v>13000</v>
      </c>
      <c r="H142" s="39">
        <f>G142-F142</f>
      </c>
      <c r="I142" s="40">
        <f>IF(F142&gt;0,(G142-F142)/F142,0)</f>
      </c>
      <c r="J142" s="41" t="s">
        <v>168</v>
      </c>
    </row>
    <row r="143" ht="22" customHeight="1" spans="1:10" x14ac:dyDescent="0.25">
      <c r="A143" s="28">
        <v>139</v>
      </c>
      <c r="B143" s="29" t="s">
        <v>161</v>
      </c>
      <c r="C143" s="28" t="s">
        <v>37</v>
      </c>
      <c r="D143" s="30" t="s">
        <v>14</v>
      </c>
      <c r="E143" s="10" t="s">
        <v>15</v>
      </c>
      <c r="F143" s="32">
        <v>23000</v>
      </c>
      <c r="G143" s="32">
        <v>26000</v>
      </c>
      <c r="H143" s="32">
        <f>G143-F143</f>
      </c>
      <c r="I143" s="33">
        <f>IF(F143&gt;0,(G143-F143)/F143,0)</f>
      </c>
      <c r="J143" s="34" t="s">
        <v>162</v>
      </c>
    </row>
    <row r="144" ht="22" customHeight="1" spans="1:10" x14ac:dyDescent="0.25">
      <c r="A144" s="35">
        <v>140</v>
      </c>
      <c r="B144" s="36" t="s">
        <v>157</v>
      </c>
      <c r="C144" s="35" t="s">
        <v>37</v>
      </c>
      <c r="D144" s="43" t="s">
        <v>40</v>
      </c>
      <c r="E144" s="10" t="s">
        <v>15</v>
      </c>
      <c r="F144" s="39">
        <v>27000</v>
      </c>
      <c r="G144" s="39">
        <v>30000</v>
      </c>
      <c r="H144" s="39">
        <f>G144-F144</f>
      </c>
      <c r="I144" s="40">
        <f>IF(F144&gt;0,(G144-F144)/F144,0)</f>
      </c>
      <c r="J144" s="41" t="s">
        <v>158</v>
      </c>
    </row>
    <row r="145" ht="22" customHeight="1" spans="1:10" x14ac:dyDescent="0.25">
      <c r="A145" s="28">
        <v>141</v>
      </c>
      <c r="B145" s="29" t="s">
        <v>165</v>
      </c>
      <c r="C145" s="28" t="s">
        <v>37</v>
      </c>
      <c r="D145" s="30" t="s">
        <v>14</v>
      </c>
      <c r="E145" s="10" t="s">
        <v>15</v>
      </c>
      <c r="F145" s="32">
        <v>35000</v>
      </c>
      <c r="G145" s="32">
        <v>38000</v>
      </c>
      <c r="H145" s="32">
        <f>G145-F145</f>
      </c>
      <c r="I145" s="33">
        <f>IF(F145&gt;0,(G145-F145)/F145,0)</f>
      </c>
      <c r="J145" s="34" t="s">
        <v>166</v>
      </c>
    </row>
    <row r="146" ht="22" customHeight="1" spans="1:10" x14ac:dyDescent="0.25">
      <c r="A146" s="35">
        <v>142</v>
      </c>
      <c r="B146" s="36" t="s">
        <v>159</v>
      </c>
      <c r="C146" s="35" t="s">
        <v>37</v>
      </c>
      <c r="D146" s="43" t="s">
        <v>40</v>
      </c>
      <c r="E146" s="10" t="s">
        <v>15</v>
      </c>
      <c r="F146" s="39">
        <v>45000</v>
      </c>
      <c r="G146" s="39">
        <v>49000</v>
      </c>
      <c r="H146" s="39">
        <f>G146-F146</f>
      </c>
      <c r="I146" s="40">
        <f>IF(F146&gt;0,(G146-F146)/F146,0)</f>
      </c>
      <c r="J146" s="41" t="s">
        <v>160</v>
      </c>
    </row>
    <row r="147" ht="22" customHeight="1" spans="1:10" x14ac:dyDescent="0.25">
      <c r="A147" s="28">
        <v>143</v>
      </c>
      <c r="B147" s="29" t="s">
        <v>163</v>
      </c>
      <c r="C147" s="28" t="s">
        <v>37</v>
      </c>
      <c r="D147" s="30" t="s">
        <v>14</v>
      </c>
      <c r="E147" s="10" t="s">
        <v>15</v>
      </c>
      <c r="F147" s="32">
        <v>120000</v>
      </c>
      <c r="G147" s="32">
        <v>130000</v>
      </c>
      <c r="H147" s="32">
        <f>G147-F147</f>
      </c>
      <c r="I147" s="33">
        <f>IF(F147&gt;0,(G147-F147)/F147,0)</f>
      </c>
      <c r="J147" s="34" t="s">
        <v>164</v>
      </c>
    </row>
    <row r="148" ht="22" customHeight="1" spans="1:10" x14ac:dyDescent="0.25">
      <c r="A148" s="35">
        <v>144</v>
      </c>
      <c r="B148" s="36" t="s">
        <v>169</v>
      </c>
      <c r="C148" s="35" t="s">
        <v>37</v>
      </c>
      <c r="D148" s="37" t="s">
        <v>14</v>
      </c>
      <c r="E148" s="10" t="s">
        <v>15</v>
      </c>
      <c r="F148" s="39">
        <v>230000</v>
      </c>
      <c r="G148" s="39">
        <v>249000</v>
      </c>
      <c r="H148" s="39">
        <f>G148-F148</f>
      </c>
      <c r="I148" s="40">
        <f>IF(F148&gt;0,(G148-F148)/F148,0)</f>
      </c>
      <c r="J148" s="41" t="s">
        <v>170</v>
      </c>
    </row>
    <row r="149" ht="22" customHeight="1" spans="1:10" x14ac:dyDescent="0.25">
      <c r="A149" s="28">
        <v>145</v>
      </c>
      <c r="B149" s="29" t="s">
        <v>110</v>
      </c>
      <c r="C149" s="28" t="s">
        <v>37</v>
      </c>
      <c r="D149" s="30" t="s">
        <v>14</v>
      </c>
      <c r="E149" s="10" t="s">
        <v>15</v>
      </c>
      <c r="F149" s="32">
        <v>15591</v>
      </c>
      <c r="G149" s="32">
        <v>19000</v>
      </c>
      <c r="H149" s="32">
        <f>G149-F149</f>
      </c>
      <c r="I149" s="33">
        <f>IF(F149&gt;0,(G149-F149)/F149,0)</f>
      </c>
      <c r="J149" s="34" t="s">
        <v>111</v>
      </c>
    </row>
    <row r="150" ht="22" customHeight="1" spans="1:10" x14ac:dyDescent="0.25">
      <c r="A150" s="35">
        <v>146</v>
      </c>
      <c r="B150" s="36" t="s">
        <v>19</v>
      </c>
      <c r="C150" s="35" t="s">
        <v>37</v>
      </c>
      <c r="D150" s="43" t="s">
        <v>20</v>
      </c>
      <c r="E150" s="23" t="s">
        <v>21</v>
      </c>
      <c r="F150" s="39">
        <v>13000</v>
      </c>
      <c r="G150" s="39">
        <v>25000</v>
      </c>
      <c r="H150" s="39">
        <f>G150-F150</f>
      </c>
      <c r="I150" s="40">
        <f>IF(F150&gt;0,(G150-F150)/F150,0)</f>
      </c>
      <c r="J150" s="41" t="s">
        <v>22</v>
      </c>
    </row>
    <row r="151" ht="22" customHeight="1" spans="1:10" x14ac:dyDescent="0.25">
      <c r="A151" s="28">
        <v>147</v>
      </c>
      <c r="B151" s="29" t="s">
        <v>25</v>
      </c>
      <c r="C151" s="28" t="s">
        <v>37</v>
      </c>
      <c r="D151" s="42" t="s">
        <v>20</v>
      </c>
      <c r="E151" s="23" t="s">
        <v>21</v>
      </c>
      <c r="F151" s="32">
        <v>28000</v>
      </c>
      <c r="G151" s="32">
        <v>31000</v>
      </c>
      <c r="H151" s="32">
        <f>G151-F151</f>
      </c>
      <c r="I151" s="33">
        <f>IF(F151&gt;0,(G151-F151)/F151,0)</f>
      </c>
      <c r="J151" s="34" t="s">
        <v>26</v>
      </c>
    </row>
    <row r="152" ht="22" customHeight="1" spans="1:10" x14ac:dyDescent="0.25">
      <c r="A152" s="35">
        <v>148</v>
      </c>
      <c r="B152" s="36" t="s">
        <v>23</v>
      </c>
      <c r="C152" s="35" t="s">
        <v>37</v>
      </c>
      <c r="D152" s="43" t="s">
        <v>20</v>
      </c>
      <c r="E152" s="23" t="s">
        <v>21</v>
      </c>
      <c r="F152" s="39">
        <v>18000</v>
      </c>
      <c r="G152" s="39">
        <v>21000</v>
      </c>
      <c r="H152" s="39">
        <f>G152-F152</f>
      </c>
      <c r="I152" s="40">
        <f>IF(F152&gt;0,(G152-F152)/F152,0)</f>
      </c>
      <c r="J152" s="41" t="s">
        <v>24</v>
      </c>
    </row>
    <row r="153" ht="22" customHeight="1" spans="1:10" x14ac:dyDescent="0.25">
      <c r="A153" s="28">
        <v>149</v>
      </c>
      <c r="B153" s="29" t="s">
        <v>101</v>
      </c>
      <c r="C153" s="28" t="s">
        <v>37</v>
      </c>
      <c r="D153" s="42" t="s">
        <v>20</v>
      </c>
      <c r="E153" s="10" t="s">
        <v>15</v>
      </c>
      <c r="F153" s="32">
        <v>16000</v>
      </c>
      <c r="G153" s="32">
        <v>19000</v>
      </c>
      <c r="H153" s="32">
        <f>G153-F153</f>
      </c>
      <c r="I153" s="33">
        <f>IF(F153&gt;0,(G153-F153)/F153,0)</f>
      </c>
      <c r="J153" s="34" t="s">
        <v>103</v>
      </c>
    </row>
    <row r="154" ht="22" customHeight="1" spans="1:10" x14ac:dyDescent="0.25">
      <c r="A154" s="35">
        <v>150</v>
      </c>
      <c r="B154" s="36" t="s">
        <v>106</v>
      </c>
      <c r="C154" s="35" t="s">
        <v>37</v>
      </c>
      <c r="D154" s="43" t="s">
        <v>20</v>
      </c>
      <c r="E154" s="10" t="s">
        <v>15</v>
      </c>
      <c r="F154" s="39">
        <v>21000</v>
      </c>
      <c r="G154" s="39">
        <v>24000</v>
      </c>
      <c r="H154" s="39">
        <f>G154-F154</f>
      </c>
      <c r="I154" s="40">
        <f>IF(F154&gt;0,(G154-F154)/F154,0)</f>
      </c>
      <c r="J154" s="41" t="s">
        <v>107</v>
      </c>
    </row>
    <row r="155" ht="22" customHeight="1" spans="1:10" x14ac:dyDescent="0.25">
      <c r="A155" s="28">
        <v>151</v>
      </c>
      <c r="B155" s="29" t="s">
        <v>27</v>
      </c>
      <c r="C155" s="28" t="s">
        <v>37</v>
      </c>
      <c r="D155" s="30" t="s">
        <v>28</v>
      </c>
      <c r="E155" s="23" t="s">
        <v>21</v>
      </c>
      <c r="F155" s="32">
        <v>45000</v>
      </c>
      <c r="G155" s="32">
        <v>49000</v>
      </c>
      <c r="H155" s="32">
        <f>G155-F155</f>
      </c>
      <c r="I155" s="33">
        <f>IF(F155&gt;0,(G155-F155)/F155,0)</f>
      </c>
      <c r="J155" s="34" t="s">
        <v>29</v>
      </c>
    </row>
    <row r="156" ht="22" customHeight="1" spans="1:10" x14ac:dyDescent="0.25">
      <c r="A156" s="35">
        <v>152</v>
      </c>
      <c r="B156" s="36" t="s">
        <v>499</v>
      </c>
      <c r="C156" s="35" t="s">
        <v>37</v>
      </c>
      <c r="D156" s="37" t="s">
        <v>28</v>
      </c>
      <c r="E156" s="23" t="s">
        <v>21</v>
      </c>
      <c r="F156" s="39">
        <v>100000</v>
      </c>
      <c r="G156" s="39">
        <v>108000</v>
      </c>
      <c r="H156" s="39">
        <f>G156-F156</f>
      </c>
      <c r="I156" s="40">
        <f>IF(F156&gt;0,(G156-F156)/F156,0)</f>
      </c>
      <c r="J156" s="41" t="s">
        <v>33</v>
      </c>
    </row>
    <row r="157" ht="22" customHeight="1" spans="1:10" x14ac:dyDescent="0.25">
      <c r="A157" s="28">
        <v>153</v>
      </c>
      <c r="B157" s="29" t="s">
        <v>30</v>
      </c>
      <c r="C157" s="28" t="s">
        <v>37</v>
      </c>
      <c r="D157" s="30" t="s">
        <v>28</v>
      </c>
      <c r="E157" s="23" t="s">
        <v>21</v>
      </c>
      <c r="F157" s="32">
        <v>60000</v>
      </c>
      <c r="G157" s="32">
        <v>65000</v>
      </c>
      <c r="H157" s="32">
        <f>G157-F157</f>
      </c>
      <c r="I157" s="33">
        <f>IF(F157&gt;0,(G157-F157)/F157,0)</f>
      </c>
      <c r="J157" s="34" t="s">
        <v>31</v>
      </c>
    </row>
    <row r="158" ht="22" customHeight="1" spans="1:10" x14ac:dyDescent="0.25">
      <c r="A158" s="35">
        <v>154</v>
      </c>
      <c r="B158" s="36" t="s">
        <v>104</v>
      </c>
      <c r="C158" s="35" t="s">
        <v>37</v>
      </c>
      <c r="D158" s="37" t="s">
        <v>28</v>
      </c>
      <c r="E158" s="10" t="s">
        <v>15</v>
      </c>
      <c r="F158" s="39">
        <v>45000</v>
      </c>
      <c r="G158" s="39">
        <v>49000</v>
      </c>
      <c r="H158" s="39">
        <f>G158-F158</f>
      </c>
      <c r="I158" s="40">
        <f>IF(F158&gt;0,(G158-F158)/F158,0)</f>
      </c>
      <c r="J158" s="41" t="s">
        <v>105</v>
      </c>
    </row>
    <row r="159" ht="22" customHeight="1" spans="1:10" x14ac:dyDescent="0.25">
      <c r="A159" s="28">
        <v>155</v>
      </c>
      <c r="B159" s="29" t="s">
        <v>108</v>
      </c>
      <c r="C159" s="28" t="s">
        <v>37</v>
      </c>
      <c r="D159" s="30" t="s">
        <v>28</v>
      </c>
      <c r="E159" s="10" t="s">
        <v>15</v>
      </c>
      <c r="F159" s="32">
        <v>60000</v>
      </c>
      <c r="G159" s="32">
        <v>65000</v>
      </c>
      <c r="H159" s="32">
        <f>G159-F159</f>
      </c>
      <c r="I159" s="33">
        <f>IF(F159&gt;0,(G159-F159)/F159,0)</f>
      </c>
      <c r="J159" s="34" t="s">
        <v>109</v>
      </c>
    </row>
    <row r="160" ht="22" customHeight="1" spans="1:10" x14ac:dyDescent="0.25">
      <c r="A160" s="35">
        <v>156</v>
      </c>
      <c r="B160" s="36" t="s">
        <v>58</v>
      </c>
      <c r="C160" s="35" t="s">
        <v>37</v>
      </c>
      <c r="D160" s="43" t="s">
        <v>40</v>
      </c>
      <c r="E160" s="23" t="s">
        <v>21</v>
      </c>
      <c r="F160" s="39">
        <v>10000</v>
      </c>
      <c r="G160" s="39">
        <v>13000</v>
      </c>
      <c r="H160" s="39">
        <f>G160-F160</f>
      </c>
      <c r="I160" s="40">
        <f>IF(F160&gt;0,(G160-F160)/F160,0)</f>
      </c>
      <c r="J160" s="41" t="s">
        <v>59</v>
      </c>
    </row>
    <row r="161" ht="22" customHeight="1" spans="1:10" x14ac:dyDescent="0.25">
      <c r="A161" s="28">
        <v>157</v>
      </c>
      <c r="B161" s="29" t="s">
        <v>175</v>
      </c>
      <c r="C161" s="28" t="s">
        <v>37</v>
      </c>
      <c r="D161" s="42" t="s">
        <v>40</v>
      </c>
      <c r="E161" s="10" t="s">
        <v>15</v>
      </c>
      <c r="F161" s="32">
        <v>18000</v>
      </c>
      <c r="G161" s="32">
        <v>21000</v>
      </c>
      <c r="H161" s="32">
        <f>G161-F161</f>
      </c>
      <c r="I161" s="33">
        <f>IF(F161&gt;0,(G161-F161)/F161,0)</f>
      </c>
      <c r="J161" s="34" t="s">
        <v>176</v>
      </c>
    </row>
    <row r="162" ht="22" customHeight="1" spans="1:10" x14ac:dyDescent="0.25">
      <c r="A162" s="35">
        <v>158</v>
      </c>
      <c r="B162" s="36" t="s">
        <v>60</v>
      </c>
      <c r="C162" s="35" t="s">
        <v>37</v>
      </c>
      <c r="D162" s="43" t="s">
        <v>40</v>
      </c>
      <c r="E162" s="10" t="s">
        <v>15</v>
      </c>
      <c r="F162" s="39">
        <v>7000</v>
      </c>
      <c r="G162" s="39">
        <v>10000</v>
      </c>
      <c r="H162" s="39">
        <f>G162-F162</f>
      </c>
      <c r="I162" s="40">
        <f>IF(F162&gt;0,(G162-F162)/F162,0)</f>
      </c>
      <c r="J162" s="41" t="s">
        <v>61</v>
      </c>
    </row>
    <row r="163" ht="22" customHeight="1" spans="1:10" x14ac:dyDescent="0.25">
      <c r="A163" s="28">
        <v>159</v>
      </c>
      <c r="B163" s="29" t="s">
        <v>112</v>
      </c>
      <c r="C163" s="28" t="s">
        <v>37</v>
      </c>
      <c r="D163" s="30" t="s">
        <v>14</v>
      </c>
      <c r="E163" s="10" t="s">
        <v>15</v>
      </c>
      <c r="F163" s="32">
        <v>84053</v>
      </c>
      <c r="G163" s="32">
        <v>91000</v>
      </c>
      <c r="H163" s="32">
        <f>G163-F163</f>
      </c>
      <c r="I163" s="33">
        <f>IF(F163&gt;0,(G163-F163)/F163,0)</f>
      </c>
      <c r="J163" s="34" t="s">
        <v>113</v>
      </c>
    </row>
    <row r="164" ht="22" customHeight="1" spans="1:10" x14ac:dyDescent="0.25">
      <c r="A164" s="35">
        <v>160</v>
      </c>
      <c r="B164" s="36" t="s">
        <v>114</v>
      </c>
      <c r="C164" s="35" t="s">
        <v>37</v>
      </c>
      <c r="D164" s="37" t="s">
        <v>14</v>
      </c>
      <c r="E164" s="10" t="s">
        <v>15</v>
      </c>
      <c r="F164" s="39">
        <v>84528</v>
      </c>
      <c r="G164" s="39">
        <v>92000</v>
      </c>
      <c r="H164" s="39">
        <f>G164-F164</f>
      </c>
      <c r="I164" s="40">
        <f>IF(F164&gt;0,(G164-F164)/F164,0)</f>
      </c>
      <c r="J164" s="41" t="s">
        <v>115</v>
      </c>
    </row>
    <row r="165" ht="22" customHeight="1" spans="1:10" x14ac:dyDescent="0.25">
      <c r="A165" s="28">
        <v>161</v>
      </c>
      <c r="B165" s="29" t="s">
        <v>120</v>
      </c>
      <c r="C165" s="28" t="s">
        <v>37</v>
      </c>
      <c r="D165" s="30" t="s">
        <v>14</v>
      </c>
      <c r="E165" s="10" t="s">
        <v>15</v>
      </c>
      <c r="F165" s="32">
        <v>85634</v>
      </c>
      <c r="G165" s="32">
        <v>93000</v>
      </c>
      <c r="H165" s="32">
        <f>G165-F165</f>
      </c>
      <c r="I165" s="33">
        <f>IF(F165&gt;0,(G165-F165)/F165,0)</f>
      </c>
      <c r="J165" s="34" t="s">
        <v>121</v>
      </c>
    </row>
    <row r="166" ht="22" customHeight="1" spans="1:10" x14ac:dyDescent="0.25">
      <c r="A166" s="35">
        <v>162</v>
      </c>
      <c r="B166" s="36" t="s">
        <v>120</v>
      </c>
      <c r="C166" s="35" t="s">
        <v>37</v>
      </c>
      <c r="D166" s="37" t="s">
        <v>14</v>
      </c>
      <c r="E166" s="10" t="s">
        <v>15</v>
      </c>
      <c r="F166" s="39">
        <v>91046</v>
      </c>
      <c r="G166" s="39">
        <v>99000</v>
      </c>
      <c r="H166" s="39">
        <f>G166-F166</f>
      </c>
      <c r="I166" s="40">
        <f>IF(F166&gt;0,(G166-F166)/F166,0)</f>
      </c>
      <c r="J166" s="41" t="s">
        <v>122</v>
      </c>
    </row>
    <row r="167" ht="22" customHeight="1" spans="1:10" x14ac:dyDescent="0.25">
      <c r="A167" s="28">
        <v>163</v>
      </c>
      <c r="B167" s="29" t="s">
        <v>118</v>
      </c>
      <c r="C167" s="28" t="s">
        <v>37</v>
      </c>
      <c r="D167" s="30" t="s">
        <v>14</v>
      </c>
      <c r="E167" s="10" t="s">
        <v>15</v>
      </c>
      <c r="F167" s="32">
        <v>91384</v>
      </c>
      <c r="G167" s="32">
        <v>99000</v>
      </c>
      <c r="H167" s="32">
        <f>G167-F167</f>
      </c>
      <c r="I167" s="33">
        <f>IF(F167&gt;0,(G167-F167)/F167,0)</f>
      </c>
      <c r="J167" s="34" t="s">
        <v>119</v>
      </c>
    </row>
    <row r="168" ht="22" customHeight="1" spans="1:10" x14ac:dyDescent="0.25">
      <c r="A168" s="35">
        <v>164</v>
      </c>
      <c r="B168" s="36" t="s">
        <v>123</v>
      </c>
      <c r="C168" s="35" t="s">
        <v>37</v>
      </c>
      <c r="D168" s="37" t="s">
        <v>14</v>
      </c>
      <c r="E168" s="10" t="s">
        <v>15</v>
      </c>
      <c r="F168" s="39">
        <v>143161</v>
      </c>
      <c r="G168" s="39">
        <v>155000</v>
      </c>
      <c r="H168" s="39">
        <f>G168-F168</f>
      </c>
      <c r="I168" s="40">
        <f>IF(F168&gt;0,(G168-F168)/F168,0)</f>
      </c>
      <c r="J168" s="41" t="s">
        <v>124</v>
      </c>
    </row>
    <row r="169" ht="22" customHeight="1" spans="1:10" x14ac:dyDescent="0.25">
      <c r="A169" s="28">
        <v>165</v>
      </c>
      <c r="B169" s="29" t="s">
        <v>116</v>
      </c>
      <c r="C169" s="28" t="s">
        <v>37</v>
      </c>
      <c r="D169" s="30" t="s">
        <v>14</v>
      </c>
      <c r="E169" s="10" t="s">
        <v>15</v>
      </c>
      <c r="F169" s="32">
        <v>147763</v>
      </c>
      <c r="G169" s="32">
        <v>160000</v>
      </c>
      <c r="H169" s="32">
        <f>G169-F169</f>
      </c>
      <c r="I169" s="33">
        <f>IF(F169&gt;0,(G169-F169)/F169,0)</f>
      </c>
      <c r="J169" s="34" t="s">
        <v>117</v>
      </c>
    </row>
    <row r="170" ht="22" customHeight="1" spans="1:10" x14ac:dyDescent="0.25">
      <c r="A170" s="35">
        <v>166</v>
      </c>
      <c r="B170" s="36" t="s">
        <v>342</v>
      </c>
      <c r="C170" s="35" t="s">
        <v>37</v>
      </c>
      <c r="D170" s="43" t="s">
        <v>20</v>
      </c>
      <c r="E170" s="10" t="s">
        <v>15</v>
      </c>
      <c r="F170" s="39">
        <v>6000</v>
      </c>
      <c r="G170" s="39">
        <v>9000</v>
      </c>
      <c r="H170" s="39">
        <f>G170-F170</f>
      </c>
      <c r="I170" s="40">
        <f>IF(F170&gt;0,(G170-F170)/F170,0)</f>
      </c>
      <c r="J170" s="41" t="s">
        <v>343</v>
      </c>
    </row>
    <row r="171" ht="22" customHeight="1" spans="1:10" x14ac:dyDescent="0.25">
      <c r="A171" s="28">
        <v>167</v>
      </c>
      <c r="B171" s="29" t="s">
        <v>338</v>
      </c>
      <c r="C171" s="28" t="s">
        <v>37</v>
      </c>
      <c r="D171" s="30" t="s">
        <v>14</v>
      </c>
      <c r="E171" s="10" t="s">
        <v>15</v>
      </c>
      <c r="F171" s="32">
        <v>11000</v>
      </c>
      <c r="G171" s="32">
        <v>14000</v>
      </c>
      <c r="H171" s="32">
        <f>G171-F171</f>
      </c>
      <c r="I171" s="33">
        <f>IF(F171&gt;0,(G171-F171)/F171,0)</f>
      </c>
      <c r="J171" s="34" t="s">
        <v>339</v>
      </c>
    </row>
    <row r="172" ht="22" customHeight="1" spans="1:10" x14ac:dyDescent="0.25">
      <c r="A172" s="35">
        <v>168</v>
      </c>
      <c r="B172" s="36" t="s">
        <v>340</v>
      </c>
      <c r="C172" s="35" t="s">
        <v>37</v>
      </c>
      <c r="D172" s="37" t="s">
        <v>14</v>
      </c>
      <c r="E172" s="10" t="s">
        <v>15</v>
      </c>
      <c r="F172" s="39">
        <v>13000</v>
      </c>
      <c r="G172" s="39">
        <v>16000</v>
      </c>
      <c r="H172" s="39">
        <f>G172-F172</f>
      </c>
      <c r="I172" s="40">
        <f>IF(F172&gt;0,(G172-F172)/F172,0)</f>
      </c>
      <c r="J172" s="41" t="s">
        <v>341</v>
      </c>
    </row>
    <row r="173" ht="22" customHeight="1" spans="1:10" x14ac:dyDescent="0.25">
      <c r="A173" s="28">
        <v>169</v>
      </c>
      <c r="B173" s="29" t="s">
        <v>271</v>
      </c>
      <c r="C173" s="28" t="s">
        <v>37</v>
      </c>
      <c r="D173" s="30" t="s">
        <v>14</v>
      </c>
      <c r="E173" s="10" t="s">
        <v>15</v>
      </c>
      <c r="F173" s="32">
        <v>0</v>
      </c>
      <c r="G173" s="32">
        <v>0</v>
      </c>
      <c r="H173" s="32">
        <f>G173-F173</f>
      </c>
      <c r="I173" s="33">
        <f>IF(F173&gt;0,(G173-F173)/F173,0)</f>
      </c>
      <c r="J173" s="34" t="s">
        <v>272</v>
      </c>
    </row>
    <row r="174" ht="22" customHeight="1" spans="1:10" x14ac:dyDescent="0.25">
      <c r="A174" s="35">
        <v>170</v>
      </c>
      <c r="B174" s="36" t="s">
        <v>432</v>
      </c>
      <c r="C174" s="35" t="s">
        <v>37</v>
      </c>
      <c r="D174" s="37" t="s">
        <v>14</v>
      </c>
      <c r="E174" s="10" t="s">
        <v>15</v>
      </c>
      <c r="F174" s="39">
        <v>34000</v>
      </c>
      <c r="G174" s="39">
        <v>37000</v>
      </c>
      <c r="H174" s="39">
        <f>G174-F174</f>
      </c>
      <c r="I174" s="40">
        <f>IF(F174&gt;0,(G174-F174)/F174,0)</f>
      </c>
      <c r="J174" s="41" t="s">
        <v>433</v>
      </c>
    </row>
    <row r="175" ht="22" customHeight="1" spans="1:10" x14ac:dyDescent="0.25">
      <c r="A175" s="28">
        <v>171</v>
      </c>
      <c r="B175" s="29" t="s">
        <v>418</v>
      </c>
      <c r="C175" s="28" t="s">
        <v>37</v>
      </c>
      <c r="D175" s="30" t="s">
        <v>14</v>
      </c>
      <c r="E175" s="10" t="s">
        <v>15</v>
      </c>
      <c r="F175" s="32">
        <v>8000</v>
      </c>
      <c r="G175" s="32">
        <v>11000</v>
      </c>
      <c r="H175" s="32">
        <f>G175-F175</f>
      </c>
      <c r="I175" s="33">
        <f>IF(F175&gt;0,(G175-F175)/F175,0)</f>
      </c>
      <c r="J175" s="34" t="s">
        <v>419</v>
      </c>
    </row>
    <row r="176" ht="22" customHeight="1" spans="1:10" x14ac:dyDescent="0.25">
      <c r="A176" s="35">
        <v>172</v>
      </c>
      <c r="B176" s="36" t="s">
        <v>416</v>
      </c>
      <c r="C176" s="35" t="s">
        <v>37</v>
      </c>
      <c r="D176" s="37" t="s">
        <v>14</v>
      </c>
      <c r="E176" s="10" t="s">
        <v>15</v>
      </c>
      <c r="F176" s="39">
        <v>26000</v>
      </c>
      <c r="G176" s="39">
        <v>29000</v>
      </c>
      <c r="H176" s="39">
        <f>G176-F176</f>
      </c>
      <c r="I176" s="40">
        <f>IF(F176&gt;0,(G176-F176)/F176,0)</f>
      </c>
      <c r="J176" s="41" t="s">
        <v>417</v>
      </c>
    </row>
    <row r="177" ht="22" customHeight="1" spans="1:10" x14ac:dyDescent="0.25">
      <c r="A177" s="28">
        <v>173</v>
      </c>
      <c r="B177" s="29" t="s">
        <v>436</v>
      </c>
      <c r="C177" s="28" t="s">
        <v>37</v>
      </c>
      <c r="D177" s="42" t="s">
        <v>40</v>
      </c>
      <c r="E177" s="10" t="s">
        <v>15</v>
      </c>
      <c r="F177" s="32">
        <v>17500</v>
      </c>
      <c r="G177" s="32">
        <v>20000</v>
      </c>
      <c r="H177" s="32">
        <f>G177-F177</f>
      </c>
      <c r="I177" s="33">
        <f>IF(F177&gt;0,(G177-F177)/F177,0)</f>
      </c>
      <c r="J177" s="34" t="s">
        <v>437</v>
      </c>
    </row>
    <row r="178" ht="22" customHeight="1" spans="1:10" x14ac:dyDescent="0.25">
      <c r="A178" s="35">
        <v>174</v>
      </c>
      <c r="B178" s="36" t="s">
        <v>430</v>
      </c>
      <c r="C178" s="35" t="s">
        <v>37</v>
      </c>
      <c r="D178" s="43" t="s">
        <v>40</v>
      </c>
      <c r="E178" s="10" t="s">
        <v>15</v>
      </c>
      <c r="F178" s="39">
        <v>15500</v>
      </c>
      <c r="G178" s="39">
        <v>18000</v>
      </c>
      <c r="H178" s="39">
        <f>G178-F178</f>
      </c>
      <c r="I178" s="40">
        <f>IF(F178&gt;0,(G178-F178)/F178,0)</f>
      </c>
      <c r="J178" s="41" t="s">
        <v>431</v>
      </c>
    </row>
    <row r="179" ht="22" customHeight="1" spans="1:10" x14ac:dyDescent="0.25">
      <c r="A179" s="28">
        <v>175</v>
      </c>
      <c r="B179" s="29" t="s">
        <v>408</v>
      </c>
      <c r="C179" s="28" t="s">
        <v>37</v>
      </c>
      <c r="D179" s="42" t="s">
        <v>40</v>
      </c>
      <c r="E179" s="10" t="s">
        <v>15</v>
      </c>
      <c r="F179" s="32">
        <v>6000</v>
      </c>
      <c r="G179" s="32">
        <v>9000</v>
      </c>
      <c r="H179" s="32">
        <f>G179-F179</f>
      </c>
      <c r="I179" s="33">
        <f>IF(F179&gt;0,(G179-F179)/F179,0)</f>
      </c>
      <c r="J179" s="34" t="s">
        <v>409</v>
      </c>
    </row>
    <row r="180" ht="22" customHeight="1" spans="1:10" x14ac:dyDescent="0.25">
      <c r="A180" s="35">
        <v>176</v>
      </c>
      <c r="B180" s="36" t="s">
        <v>404</v>
      </c>
      <c r="C180" s="35" t="s">
        <v>37</v>
      </c>
      <c r="D180" s="37" t="s">
        <v>14</v>
      </c>
      <c r="E180" s="10" t="s">
        <v>15</v>
      </c>
      <c r="F180" s="39">
        <v>11000</v>
      </c>
      <c r="G180" s="39">
        <v>14000</v>
      </c>
      <c r="H180" s="39">
        <f>G180-F180</f>
      </c>
      <c r="I180" s="40">
        <f>IF(F180&gt;0,(G180-F180)/F180,0)</f>
      </c>
      <c r="J180" s="41" t="s">
        <v>405</v>
      </c>
    </row>
    <row r="181" ht="22" customHeight="1" spans="1:10" x14ac:dyDescent="0.25">
      <c r="A181" s="28">
        <v>177</v>
      </c>
      <c r="B181" s="29" t="s">
        <v>412</v>
      </c>
      <c r="C181" s="28" t="s">
        <v>37</v>
      </c>
      <c r="D181" s="30" t="s">
        <v>14</v>
      </c>
      <c r="E181" s="10" t="s">
        <v>15</v>
      </c>
      <c r="F181" s="32">
        <v>8000</v>
      </c>
      <c r="G181" s="32">
        <v>11000</v>
      </c>
      <c r="H181" s="32">
        <f>G181-F181</f>
      </c>
      <c r="I181" s="33">
        <f>IF(F181&gt;0,(G181-F181)/F181,0)</f>
      </c>
      <c r="J181" s="34" t="s">
        <v>413</v>
      </c>
    </row>
    <row r="182" ht="22" customHeight="1" spans="1:10" x14ac:dyDescent="0.25">
      <c r="A182" s="35">
        <v>178</v>
      </c>
      <c r="B182" s="36" t="s">
        <v>414</v>
      </c>
      <c r="C182" s="35" t="s">
        <v>37</v>
      </c>
      <c r="D182" s="37" t="s">
        <v>14</v>
      </c>
      <c r="E182" s="10" t="s">
        <v>15</v>
      </c>
      <c r="F182" s="39">
        <v>15000</v>
      </c>
      <c r="G182" s="39">
        <v>18000</v>
      </c>
      <c r="H182" s="39">
        <f>G182-F182</f>
      </c>
      <c r="I182" s="40">
        <f>IF(F182&gt;0,(G182-F182)/F182,0)</f>
      </c>
      <c r="J182" s="41" t="s">
        <v>415</v>
      </c>
    </row>
    <row r="183" ht="22" customHeight="1" spans="1:10" x14ac:dyDescent="0.25">
      <c r="A183" s="28">
        <v>179</v>
      </c>
      <c r="B183" s="29" t="s">
        <v>438</v>
      </c>
      <c r="C183" s="28" t="s">
        <v>37</v>
      </c>
      <c r="D183" s="30" t="s">
        <v>14</v>
      </c>
      <c r="E183" s="10" t="s">
        <v>15</v>
      </c>
      <c r="F183" s="32">
        <v>8000</v>
      </c>
      <c r="G183" s="32">
        <v>11000</v>
      </c>
      <c r="H183" s="32">
        <f>G183-F183</f>
      </c>
      <c r="I183" s="33">
        <f>IF(F183&gt;0,(G183-F183)/F183,0)</f>
      </c>
      <c r="J183" s="34" t="s">
        <v>439</v>
      </c>
    </row>
    <row r="184" ht="22" customHeight="1" spans="1:10" x14ac:dyDescent="0.25">
      <c r="A184" s="35">
        <v>180</v>
      </c>
      <c r="B184" s="36" t="s">
        <v>440</v>
      </c>
      <c r="C184" s="35" t="s">
        <v>37</v>
      </c>
      <c r="D184" s="37" t="s">
        <v>14</v>
      </c>
      <c r="E184" s="10" t="s">
        <v>15</v>
      </c>
      <c r="F184" s="39">
        <v>15000</v>
      </c>
      <c r="G184" s="39">
        <v>18000</v>
      </c>
      <c r="H184" s="39">
        <f>G184-F184</f>
      </c>
      <c r="I184" s="40">
        <f>IF(F184&gt;0,(G184-F184)/F184,0)</f>
      </c>
      <c r="J184" s="41" t="s">
        <v>441</v>
      </c>
    </row>
    <row r="185" ht="22" customHeight="1" spans="1:10" x14ac:dyDescent="0.25">
      <c r="A185" s="28">
        <v>181</v>
      </c>
      <c r="B185" s="29" t="s">
        <v>406</v>
      </c>
      <c r="C185" s="28" t="s">
        <v>37</v>
      </c>
      <c r="D185" s="42" t="s">
        <v>40</v>
      </c>
      <c r="E185" s="10" t="s">
        <v>15</v>
      </c>
      <c r="F185" s="32">
        <v>11000</v>
      </c>
      <c r="G185" s="32">
        <v>14000</v>
      </c>
      <c r="H185" s="32">
        <f>G185-F185</f>
      </c>
      <c r="I185" s="33">
        <f>IF(F185&gt;0,(G185-F185)/F185,0)</f>
      </c>
      <c r="J185" s="34" t="s">
        <v>407</v>
      </c>
    </row>
    <row r="186" ht="22" customHeight="1" spans="1:10" x14ac:dyDescent="0.25">
      <c r="A186" s="35">
        <v>182</v>
      </c>
      <c r="B186" s="36" t="s">
        <v>434</v>
      </c>
      <c r="C186" s="35" t="s">
        <v>37</v>
      </c>
      <c r="D186" s="43" t="s">
        <v>40</v>
      </c>
      <c r="E186" s="10" t="s">
        <v>15</v>
      </c>
      <c r="F186" s="39">
        <v>20000</v>
      </c>
      <c r="G186" s="39">
        <v>23000</v>
      </c>
      <c r="H186" s="39">
        <f>G186-F186</f>
      </c>
      <c r="I186" s="40">
        <f>IF(F186&gt;0,(G186-F186)/F186,0)</f>
      </c>
      <c r="J186" s="41" t="s">
        <v>435</v>
      </c>
    </row>
    <row r="187" ht="22" customHeight="1" spans="1:10" x14ac:dyDescent="0.25">
      <c r="A187" s="28">
        <v>183</v>
      </c>
      <c r="B187" s="29" t="s">
        <v>428</v>
      </c>
      <c r="C187" s="28" t="s">
        <v>37</v>
      </c>
      <c r="D187" s="42" t="s">
        <v>40</v>
      </c>
      <c r="E187" s="10" t="s">
        <v>15</v>
      </c>
      <c r="F187" s="32">
        <v>17000</v>
      </c>
      <c r="G187" s="32">
        <v>20000</v>
      </c>
      <c r="H187" s="32">
        <f>G187-F187</f>
      </c>
      <c r="I187" s="33">
        <f>IF(F187&gt;0,(G187-F187)/F187,0)</f>
      </c>
      <c r="J187" s="34" t="s">
        <v>429</v>
      </c>
    </row>
    <row r="188" ht="22" customHeight="1" spans="1:10" x14ac:dyDescent="0.25">
      <c r="A188" s="35">
        <v>184</v>
      </c>
      <c r="B188" s="36" t="s">
        <v>422</v>
      </c>
      <c r="C188" s="35" t="s">
        <v>37</v>
      </c>
      <c r="D188" s="43" t="s">
        <v>40</v>
      </c>
      <c r="E188" s="10" t="s">
        <v>15</v>
      </c>
      <c r="F188" s="39">
        <v>30000</v>
      </c>
      <c r="G188" s="39">
        <v>33000</v>
      </c>
      <c r="H188" s="39">
        <f>G188-F188</f>
      </c>
      <c r="I188" s="40">
        <f>IF(F188&gt;0,(G188-F188)/F188,0)</f>
      </c>
      <c r="J188" s="41" t="s">
        <v>423</v>
      </c>
    </row>
    <row r="189" ht="22" customHeight="1" spans="1:10" x14ac:dyDescent="0.25">
      <c r="A189" s="28">
        <v>185</v>
      </c>
      <c r="B189" s="29" t="s">
        <v>426</v>
      </c>
      <c r="C189" s="28" t="s">
        <v>37</v>
      </c>
      <c r="D189" s="42" t="s">
        <v>40</v>
      </c>
      <c r="E189" s="10" t="s">
        <v>15</v>
      </c>
      <c r="F189" s="32">
        <v>18000</v>
      </c>
      <c r="G189" s="32">
        <v>21000</v>
      </c>
      <c r="H189" s="32">
        <f>G189-F189</f>
      </c>
      <c r="I189" s="33">
        <f>IF(F189&gt;0,(G189-F189)/F189,0)</f>
      </c>
      <c r="J189" s="34" t="s">
        <v>427</v>
      </c>
    </row>
    <row r="190" ht="22" customHeight="1" spans="1:10" x14ac:dyDescent="0.25">
      <c r="A190" s="35">
        <v>186</v>
      </c>
      <c r="B190" s="36" t="s">
        <v>87</v>
      </c>
      <c r="C190" s="35" t="s">
        <v>37</v>
      </c>
      <c r="D190" s="43" t="s">
        <v>40</v>
      </c>
      <c r="E190" s="23" t="s">
        <v>21</v>
      </c>
      <c r="F190" s="39">
        <v>14750</v>
      </c>
      <c r="G190" s="39">
        <v>18000</v>
      </c>
      <c r="H190" s="39">
        <f>G190-F190</f>
      </c>
      <c r="I190" s="40">
        <f>IF(F190&gt;0,(G190-F190)/F190,0)</f>
      </c>
      <c r="J190" s="41" t="s">
        <v>88</v>
      </c>
    </row>
    <row r="191" ht="22" customHeight="1" spans="1:10" x14ac:dyDescent="0.25">
      <c r="A191" s="28">
        <v>187</v>
      </c>
      <c r="B191" s="29" t="s">
        <v>410</v>
      </c>
      <c r="C191" s="28" t="s">
        <v>37</v>
      </c>
      <c r="D191" s="42" t="s">
        <v>40</v>
      </c>
      <c r="E191" s="10" t="s">
        <v>15</v>
      </c>
      <c r="F191" s="32">
        <v>13000</v>
      </c>
      <c r="G191" s="32">
        <v>16000</v>
      </c>
      <c r="H191" s="32">
        <f>G191-F191</f>
      </c>
      <c r="I191" s="33">
        <f>IF(F191&gt;0,(G191-F191)/F191,0)</f>
      </c>
      <c r="J191" s="34" t="s">
        <v>411</v>
      </c>
    </row>
    <row r="192" ht="22" customHeight="1" spans="1:10" x14ac:dyDescent="0.25">
      <c r="A192" s="35">
        <v>188</v>
      </c>
      <c r="B192" s="36" t="s">
        <v>444</v>
      </c>
      <c r="C192" s="35" t="s">
        <v>37</v>
      </c>
      <c r="D192" s="43" t="s">
        <v>40</v>
      </c>
      <c r="E192" s="10" t="s">
        <v>15</v>
      </c>
      <c r="F192" s="39">
        <v>21000</v>
      </c>
      <c r="G192" s="39">
        <v>24000</v>
      </c>
      <c r="H192" s="39">
        <f>G192-F192</f>
      </c>
      <c r="I192" s="40">
        <f>IF(F192&gt;0,(G192-F192)/F192,0)</f>
      </c>
      <c r="J192" s="41" t="s">
        <v>445</v>
      </c>
    </row>
    <row r="193" ht="22" customHeight="1" spans="1:10" x14ac:dyDescent="0.25">
      <c r="A193" s="28">
        <v>189</v>
      </c>
      <c r="B193" s="29" t="s">
        <v>85</v>
      </c>
      <c r="C193" s="28" t="s">
        <v>37</v>
      </c>
      <c r="D193" s="30" t="s">
        <v>14</v>
      </c>
      <c r="E193" s="23" t="s">
        <v>21</v>
      </c>
      <c r="F193" s="32">
        <v>27000</v>
      </c>
      <c r="G193" s="32">
        <v>30000</v>
      </c>
      <c r="H193" s="32">
        <f>G193-F193</f>
      </c>
      <c r="I193" s="33">
        <f>IF(F193&gt;0,(G193-F193)/F193,0)</f>
      </c>
      <c r="J193" s="34" t="s">
        <v>86</v>
      </c>
    </row>
    <row r="194" ht="22" customHeight="1" spans="1:10" x14ac:dyDescent="0.25">
      <c r="A194" s="35">
        <v>190</v>
      </c>
      <c r="B194" s="36" t="s">
        <v>402</v>
      </c>
      <c r="C194" s="35" t="s">
        <v>37</v>
      </c>
      <c r="D194" s="37" t="s">
        <v>14</v>
      </c>
      <c r="E194" s="10" t="s">
        <v>15</v>
      </c>
      <c r="F194" s="39">
        <v>24000</v>
      </c>
      <c r="G194" s="39">
        <v>27000</v>
      </c>
      <c r="H194" s="39">
        <f>G194-F194</f>
      </c>
      <c r="I194" s="40">
        <f>IF(F194&gt;0,(G194-F194)/F194,0)</f>
      </c>
      <c r="J194" s="41" t="s">
        <v>403</v>
      </c>
    </row>
    <row r="195" ht="22" customHeight="1" spans="1:10" x14ac:dyDescent="0.25">
      <c r="A195" s="28">
        <v>191</v>
      </c>
      <c r="B195" s="29" t="s">
        <v>400</v>
      </c>
      <c r="C195" s="28" t="s">
        <v>37</v>
      </c>
      <c r="D195" s="42" t="s">
        <v>40</v>
      </c>
      <c r="E195" s="10" t="s">
        <v>15</v>
      </c>
      <c r="F195" s="32">
        <v>45000</v>
      </c>
      <c r="G195" s="32">
        <v>49000</v>
      </c>
      <c r="H195" s="32">
        <f>G195-F195</f>
      </c>
      <c r="I195" s="33">
        <f>IF(F195&gt;0,(G195-F195)/F195,0)</f>
      </c>
      <c r="J195" s="34" t="s">
        <v>401</v>
      </c>
    </row>
    <row r="196" ht="22" customHeight="1" spans="1:10" x14ac:dyDescent="0.25">
      <c r="A196" s="35">
        <v>192</v>
      </c>
      <c r="B196" s="36" t="s">
        <v>424</v>
      </c>
      <c r="C196" s="35" t="s">
        <v>37</v>
      </c>
      <c r="D196" s="37" t="s">
        <v>14</v>
      </c>
      <c r="E196" s="10" t="s">
        <v>15</v>
      </c>
      <c r="F196" s="39">
        <v>35000</v>
      </c>
      <c r="G196" s="39">
        <v>38000</v>
      </c>
      <c r="H196" s="39">
        <f>G196-F196</f>
      </c>
      <c r="I196" s="40">
        <f>IF(F196&gt;0,(G196-F196)/F196,0)</f>
      </c>
      <c r="J196" s="41" t="s">
        <v>425</v>
      </c>
    </row>
    <row r="197" ht="22" customHeight="1" spans="1:10" x14ac:dyDescent="0.25">
      <c r="A197" s="28">
        <v>193</v>
      </c>
      <c r="B197" s="29" t="s">
        <v>398</v>
      </c>
      <c r="C197" s="28" t="s">
        <v>37</v>
      </c>
      <c r="D197" s="42" t="s">
        <v>40</v>
      </c>
      <c r="E197" s="10" t="s">
        <v>15</v>
      </c>
      <c r="F197" s="32">
        <v>50000</v>
      </c>
      <c r="G197" s="32">
        <v>54000</v>
      </c>
      <c r="H197" s="32">
        <f>G197-F197</f>
      </c>
      <c r="I197" s="33">
        <f>IF(F197&gt;0,(G197-F197)/F197,0)</f>
      </c>
      <c r="J197" s="34" t="s">
        <v>399</v>
      </c>
    </row>
    <row r="198" ht="22" customHeight="1" spans="1:10" x14ac:dyDescent="0.25">
      <c r="A198" s="35">
        <v>194</v>
      </c>
      <c r="B198" s="36" t="s">
        <v>420</v>
      </c>
      <c r="C198" s="35" t="s">
        <v>37</v>
      </c>
      <c r="D198" s="37" t="s">
        <v>14</v>
      </c>
      <c r="E198" s="10" t="s">
        <v>15</v>
      </c>
      <c r="F198" s="39">
        <v>60000</v>
      </c>
      <c r="G198" s="39">
        <v>65000</v>
      </c>
      <c r="H198" s="39">
        <f>G198-F198</f>
      </c>
      <c r="I198" s="40">
        <f>IF(F198&gt;0,(G198-F198)/F198,0)</f>
      </c>
      <c r="J198" s="41" t="s">
        <v>421</v>
      </c>
    </row>
    <row r="199" ht="22" customHeight="1" spans="1:10" x14ac:dyDescent="0.25">
      <c r="A199" s="28">
        <v>195</v>
      </c>
      <c r="B199" s="29" t="s">
        <v>442</v>
      </c>
      <c r="C199" s="28" t="s">
        <v>37</v>
      </c>
      <c r="D199" s="30" t="s">
        <v>14</v>
      </c>
      <c r="E199" s="10" t="s">
        <v>15</v>
      </c>
      <c r="F199" s="32">
        <v>60000</v>
      </c>
      <c r="G199" s="32">
        <v>65000</v>
      </c>
      <c r="H199" s="32">
        <f>G199-F199</f>
      </c>
      <c r="I199" s="33">
        <f>IF(F199&gt;0,(G199-F199)/F199,0)</f>
      </c>
      <c r="J199" s="34" t="s">
        <v>443</v>
      </c>
    </row>
    <row r="200" ht="22" customHeight="1" spans="1:10" x14ac:dyDescent="0.25">
      <c r="A200" s="35">
        <v>196</v>
      </c>
      <c r="B200" s="36" t="s">
        <v>396</v>
      </c>
      <c r="C200" s="35" t="s">
        <v>37</v>
      </c>
      <c r="D200" s="37" t="s">
        <v>14</v>
      </c>
      <c r="E200" s="10" t="s">
        <v>15</v>
      </c>
      <c r="F200" s="39">
        <v>55000</v>
      </c>
      <c r="G200" s="39">
        <v>60000</v>
      </c>
      <c r="H200" s="39">
        <f>G200-F200</f>
      </c>
      <c r="I200" s="40">
        <f>IF(F200&gt;0,(G200-F200)/F200,0)</f>
      </c>
      <c r="J200" s="41" t="s">
        <v>397</v>
      </c>
    </row>
    <row r="201" ht="22" customHeight="1" spans="1:10" x14ac:dyDescent="0.25">
      <c r="A201" s="28">
        <v>197</v>
      </c>
      <c r="B201" s="29" t="s">
        <v>392</v>
      </c>
      <c r="C201" s="28" t="s">
        <v>37</v>
      </c>
      <c r="D201" s="30" t="s">
        <v>14</v>
      </c>
      <c r="E201" s="10" t="s">
        <v>15</v>
      </c>
      <c r="F201" s="32">
        <v>51000</v>
      </c>
      <c r="G201" s="32">
        <v>56000</v>
      </c>
      <c r="H201" s="32">
        <f>G201-F201</f>
      </c>
      <c r="I201" s="33">
        <f>IF(F201&gt;0,(G201-F201)/F201,0)</f>
      </c>
      <c r="J201" s="34" t="s">
        <v>393</v>
      </c>
    </row>
    <row r="202" ht="22" customHeight="1" spans="1:10" x14ac:dyDescent="0.25">
      <c r="A202" s="35">
        <v>198</v>
      </c>
      <c r="B202" s="36" t="s">
        <v>394</v>
      </c>
      <c r="C202" s="35" t="s">
        <v>37</v>
      </c>
      <c r="D202" s="37" t="s">
        <v>14</v>
      </c>
      <c r="E202" s="10" t="s">
        <v>15</v>
      </c>
      <c r="F202" s="39">
        <v>75000</v>
      </c>
      <c r="G202" s="39">
        <v>81000</v>
      </c>
      <c r="H202" s="39">
        <f>G202-F202</f>
      </c>
      <c r="I202" s="40">
        <f>IF(F202&gt;0,(G202-F202)/F202,0)</f>
      </c>
      <c r="J202" s="41" t="s">
        <v>395</v>
      </c>
    </row>
    <row r="203" ht="22" customHeight="1" spans="1:10" x14ac:dyDescent="0.25">
      <c r="A203" s="28">
        <v>199</v>
      </c>
      <c r="B203" s="29" t="s">
        <v>336</v>
      </c>
      <c r="C203" s="28" t="s">
        <v>37</v>
      </c>
      <c r="D203" s="42" t="s">
        <v>40</v>
      </c>
      <c r="E203" s="10" t="s">
        <v>15</v>
      </c>
      <c r="F203" s="32">
        <v>9000</v>
      </c>
      <c r="G203" s="32">
        <v>12000</v>
      </c>
      <c r="H203" s="32">
        <f>G203-F203</f>
      </c>
      <c r="I203" s="33">
        <f>IF(F203&gt;0,(G203-F203)/F203,0)</f>
      </c>
      <c r="J203" s="34" t="s">
        <v>337</v>
      </c>
    </row>
    <row r="204" ht="22" customHeight="1" spans="1:10" x14ac:dyDescent="0.25">
      <c r="A204" s="35">
        <v>200</v>
      </c>
      <c r="B204" s="36" t="s">
        <v>326</v>
      </c>
      <c r="C204" s="35" t="s">
        <v>37</v>
      </c>
      <c r="D204" s="37" t="s">
        <v>14</v>
      </c>
      <c r="E204" s="10" t="s">
        <v>15</v>
      </c>
      <c r="F204" s="39">
        <v>17000</v>
      </c>
      <c r="G204" s="39">
        <v>20000</v>
      </c>
      <c r="H204" s="39">
        <f>G204-F204</f>
      </c>
      <c r="I204" s="40">
        <f>IF(F204&gt;0,(G204-F204)/F204,0)</f>
      </c>
      <c r="J204" s="41" t="s">
        <v>327</v>
      </c>
    </row>
    <row r="205" ht="22" customHeight="1" spans="1:10" x14ac:dyDescent="0.25">
      <c r="A205" s="28">
        <v>201</v>
      </c>
      <c r="B205" s="29" t="s">
        <v>328</v>
      </c>
      <c r="C205" s="28" t="s">
        <v>37</v>
      </c>
      <c r="D205" s="30" t="s">
        <v>14</v>
      </c>
      <c r="E205" s="10" t="s">
        <v>15</v>
      </c>
      <c r="F205" s="32">
        <v>22500</v>
      </c>
      <c r="G205" s="32">
        <v>25000</v>
      </c>
      <c r="H205" s="32">
        <f>G205-F205</f>
      </c>
      <c r="I205" s="33">
        <f>IF(F205&gt;0,(G205-F205)/F205,0)</f>
      </c>
      <c r="J205" s="34" t="s">
        <v>330</v>
      </c>
    </row>
    <row r="206" ht="22" customHeight="1" spans="1:10" x14ac:dyDescent="0.25">
      <c r="A206" s="35">
        <v>202</v>
      </c>
      <c r="B206" s="36" t="s">
        <v>328</v>
      </c>
      <c r="C206" s="35" t="s">
        <v>37</v>
      </c>
      <c r="D206" s="37" t="s">
        <v>14</v>
      </c>
      <c r="E206" s="23" t="s">
        <v>21</v>
      </c>
      <c r="F206" s="39">
        <v>25000</v>
      </c>
      <c r="G206" s="39">
        <v>28000</v>
      </c>
      <c r="H206" s="39">
        <f>G206-F206</f>
      </c>
      <c r="I206" s="40">
        <f>IF(F206&gt;0,(G206-F206)/F206,0)</f>
      </c>
      <c r="J206" s="41" t="s">
        <v>329</v>
      </c>
    </row>
    <row r="207" ht="22" customHeight="1" spans="1:10" x14ac:dyDescent="0.25">
      <c r="A207" s="28">
        <v>203</v>
      </c>
      <c r="B207" s="29" t="s">
        <v>304</v>
      </c>
      <c r="C207" s="28" t="s">
        <v>37</v>
      </c>
      <c r="D207" s="30" t="s">
        <v>14</v>
      </c>
      <c r="E207" s="10" t="s">
        <v>15</v>
      </c>
      <c r="F207" s="32">
        <v>2250</v>
      </c>
      <c r="G207" s="32">
        <v>5000</v>
      </c>
      <c r="H207" s="32">
        <f>G207-F207</f>
      </c>
      <c r="I207" s="33">
        <f>IF(F207&gt;0,(G207-F207)/F207,0)</f>
      </c>
      <c r="J207" s="34" t="s">
        <v>305</v>
      </c>
    </row>
    <row r="208" ht="22" customHeight="1" spans="1:10" x14ac:dyDescent="0.25">
      <c r="A208" s="35">
        <v>204</v>
      </c>
      <c r="B208" s="36" t="s">
        <v>310</v>
      </c>
      <c r="C208" s="35" t="s">
        <v>37</v>
      </c>
      <c r="D208" s="37" t="s">
        <v>14</v>
      </c>
      <c r="E208" s="10" t="s">
        <v>15</v>
      </c>
      <c r="F208" s="39">
        <v>3000</v>
      </c>
      <c r="G208" s="39">
        <v>6000</v>
      </c>
      <c r="H208" s="39">
        <f>G208-F208</f>
      </c>
      <c r="I208" s="40">
        <f>IF(F208&gt;0,(G208-F208)/F208,0)</f>
      </c>
      <c r="J208" s="41" t="s">
        <v>311</v>
      </c>
    </row>
    <row r="209" ht="22" customHeight="1" spans="1:10" x14ac:dyDescent="0.25">
      <c r="A209" s="28">
        <v>205</v>
      </c>
      <c r="B209" s="29" t="s">
        <v>319</v>
      </c>
      <c r="C209" s="28" t="s">
        <v>37</v>
      </c>
      <c r="D209" s="30" t="s">
        <v>14</v>
      </c>
      <c r="E209" s="10" t="s">
        <v>15</v>
      </c>
      <c r="F209" s="32">
        <v>5500</v>
      </c>
      <c r="G209" s="32">
        <v>8000</v>
      </c>
      <c r="H209" s="32">
        <f>G209-F209</f>
      </c>
      <c r="I209" s="33">
        <f>IF(F209&gt;0,(G209-F209)/F209,0)</f>
      </c>
      <c r="J209" s="34" t="s">
        <v>320</v>
      </c>
    </row>
    <row r="210" ht="22" customHeight="1" spans="1:10" x14ac:dyDescent="0.25">
      <c r="A210" s="35">
        <v>206</v>
      </c>
      <c r="B210" s="36" t="s">
        <v>312</v>
      </c>
      <c r="C210" s="35" t="s">
        <v>37</v>
      </c>
      <c r="D210" s="37" t="s">
        <v>14</v>
      </c>
      <c r="E210" s="10" t="s">
        <v>15</v>
      </c>
      <c r="F210" s="39">
        <v>4500</v>
      </c>
      <c r="G210" s="39">
        <v>7000</v>
      </c>
      <c r="H210" s="39">
        <f>G210-F210</f>
      </c>
      <c r="I210" s="40">
        <f>IF(F210&gt;0,(G210-F210)/F210,0)</f>
      </c>
      <c r="J210" s="41" t="s">
        <v>314</v>
      </c>
    </row>
    <row r="211" ht="22" customHeight="1" spans="1:10" x14ac:dyDescent="0.25">
      <c r="A211" s="28">
        <v>207</v>
      </c>
      <c r="B211" s="29" t="s">
        <v>321</v>
      </c>
      <c r="C211" s="28" t="s">
        <v>37</v>
      </c>
      <c r="D211" s="30" t="s">
        <v>14</v>
      </c>
      <c r="E211" s="10" t="s">
        <v>15</v>
      </c>
      <c r="F211" s="32">
        <v>7000</v>
      </c>
      <c r="G211" s="32">
        <v>10000</v>
      </c>
      <c r="H211" s="32">
        <f>G211-F211</f>
      </c>
      <c r="I211" s="33">
        <f>IF(F211&gt;0,(G211-F211)/F211,0)</f>
      </c>
      <c r="J211" s="34" t="s">
        <v>323</v>
      </c>
    </row>
    <row r="212" ht="22" customHeight="1" spans="1:10" x14ac:dyDescent="0.25">
      <c r="A212" s="35">
        <v>208</v>
      </c>
      <c r="B212" s="36" t="s">
        <v>312</v>
      </c>
      <c r="C212" s="35" t="s">
        <v>37</v>
      </c>
      <c r="D212" s="37" t="s">
        <v>14</v>
      </c>
      <c r="E212" s="10" t="s">
        <v>15</v>
      </c>
      <c r="F212" s="39">
        <v>4500</v>
      </c>
      <c r="G212" s="39">
        <v>7000</v>
      </c>
      <c r="H212" s="39">
        <f>G212-F212</f>
      </c>
      <c r="I212" s="40">
        <f>IF(F212&gt;0,(G212-F212)/F212,0)</f>
      </c>
      <c r="J212" s="41" t="s">
        <v>313</v>
      </c>
    </row>
    <row r="213" ht="22" customHeight="1" spans="1:10" x14ac:dyDescent="0.25">
      <c r="A213" s="28">
        <v>209</v>
      </c>
      <c r="B213" s="29" t="s">
        <v>321</v>
      </c>
      <c r="C213" s="28" t="s">
        <v>37</v>
      </c>
      <c r="D213" s="30" t="s">
        <v>14</v>
      </c>
      <c r="E213" s="10" t="s">
        <v>15</v>
      </c>
      <c r="F213" s="32">
        <v>7000</v>
      </c>
      <c r="G213" s="32">
        <v>10000</v>
      </c>
      <c r="H213" s="32">
        <f>G213-F213</f>
      </c>
      <c r="I213" s="33">
        <f>IF(F213&gt;0,(G213-F213)/F213,0)</f>
      </c>
      <c r="J213" s="34" t="s">
        <v>322</v>
      </c>
    </row>
    <row r="214" ht="22" customHeight="1" spans="1:10" x14ac:dyDescent="0.25">
      <c r="A214" s="35">
        <v>210</v>
      </c>
      <c r="B214" s="36" t="s">
        <v>68</v>
      </c>
      <c r="C214" s="35" t="s">
        <v>37</v>
      </c>
      <c r="D214" s="37" t="s">
        <v>14</v>
      </c>
      <c r="E214" s="23" t="s">
        <v>21</v>
      </c>
      <c r="F214" s="39">
        <v>4500</v>
      </c>
      <c r="G214" s="39">
        <v>7000</v>
      </c>
      <c r="H214" s="39">
        <f>G214-F214</f>
      </c>
      <c r="I214" s="40">
        <f>IF(F214&gt;0,(G214-F214)/F214,0)</f>
      </c>
      <c r="J214" s="41" t="s">
        <v>69</v>
      </c>
    </row>
    <row r="215" ht="22" customHeight="1" spans="1:10" x14ac:dyDescent="0.25">
      <c r="A215" s="28">
        <v>211</v>
      </c>
      <c r="B215" s="29" t="s">
        <v>500</v>
      </c>
      <c r="C215" s="28" t="s">
        <v>37</v>
      </c>
      <c r="D215" s="30" t="s">
        <v>14</v>
      </c>
      <c r="E215" s="23" t="s">
        <v>21</v>
      </c>
      <c r="F215" s="32">
        <v>6500</v>
      </c>
      <c r="G215" s="32">
        <v>9000</v>
      </c>
      <c r="H215" s="32">
        <f>G215-F215</f>
      </c>
      <c r="I215" s="33">
        <f>IF(F215&gt;0,(G215-F215)/F215,0)</f>
      </c>
      <c r="J215" s="34" t="s">
        <v>90</v>
      </c>
    </row>
    <row r="216" ht="22" customHeight="1" spans="1:10" x14ac:dyDescent="0.25">
      <c r="A216" s="35">
        <v>212</v>
      </c>
      <c r="B216" s="36" t="s">
        <v>306</v>
      </c>
      <c r="C216" s="35" t="s">
        <v>37</v>
      </c>
      <c r="D216" s="37" t="s">
        <v>14</v>
      </c>
      <c r="E216" s="10" t="s">
        <v>15</v>
      </c>
      <c r="F216" s="39">
        <v>5900</v>
      </c>
      <c r="G216" s="39">
        <v>9000</v>
      </c>
      <c r="H216" s="39">
        <f>G216-F216</f>
      </c>
      <c r="I216" s="40">
        <f>IF(F216&gt;0,(G216-F216)/F216,0)</f>
      </c>
      <c r="J216" s="41" t="s">
        <v>307</v>
      </c>
    </row>
    <row r="217" ht="22" customHeight="1" spans="1:10" x14ac:dyDescent="0.25">
      <c r="A217" s="28">
        <v>213</v>
      </c>
      <c r="B217" s="29" t="s">
        <v>315</v>
      </c>
      <c r="C217" s="28" t="s">
        <v>37</v>
      </c>
      <c r="D217" s="30" t="s">
        <v>14</v>
      </c>
      <c r="E217" s="10" t="s">
        <v>15</v>
      </c>
      <c r="F217" s="32">
        <v>10000</v>
      </c>
      <c r="G217" s="32">
        <v>13000</v>
      </c>
      <c r="H217" s="32">
        <f>G217-F217</f>
      </c>
      <c r="I217" s="33">
        <f>IF(F217&gt;0,(G217-F217)/F217,0)</f>
      </c>
      <c r="J217" s="34" t="s">
        <v>316</v>
      </c>
    </row>
    <row r="218" ht="22" customHeight="1" spans="1:10" x14ac:dyDescent="0.25">
      <c r="A218" s="35">
        <v>214</v>
      </c>
      <c r="B218" s="36" t="s">
        <v>324</v>
      </c>
      <c r="C218" s="35" t="s">
        <v>37</v>
      </c>
      <c r="D218" s="37" t="s">
        <v>14</v>
      </c>
      <c r="E218" s="10" t="s">
        <v>15</v>
      </c>
      <c r="F218" s="39">
        <v>15000</v>
      </c>
      <c r="G218" s="39">
        <v>18000</v>
      </c>
      <c r="H218" s="39">
        <f>G218-F218</f>
      </c>
      <c r="I218" s="40">
        <f>IF(F218&gt;0,(G218-F218)/F218,0)</f>
      </c>
      <c r="J218" s="41" t="s">
        <v>325</v>
      </c>
    </row>
    <row r="219" ht="22" customHeight="1" spans="1:10" x14ac:dyDescent="0.25">
      <c r="A219" s="28">
        <v>215</v>
      </c>
      <c r="B219" s="29" t="s">
        <v>317</v>
      </c>
      <c r="C219" s="28" t="s">
        <v>37</v>
      </c>
      <c r="D219" s="30" t="s">
        <v>14</v>
      </c>
      <c r="E219" s="10" t="s">
        <v>15</v>
      </c>
      <c r="F219" s="32">
        <v>20000</v>
      </c>
      <c r="G219" s="32">
        <v>23000</v>
      </c>
      <c r="H219" s="32">
        <f>G219-F219</f>
      </c>
      <c r="I219" s="33">
        <f>IF(F219&gt;0,(G219-F219)/F219,0)</f>
      </c>
      <c r="J219" s="34" t="s">
        <v>318</v>
      </c>
    </row>
    <row r="220" ht="22" customHeight="1" spans="1:10" x14ac:dyDescent="0.25">
      <c r="A220" s="35">
        <v>216</v>
      </c>
      <c r="B220" s="36" t="s">
        <v>302</v>
      </c>
      <c r="C220" s="35" t="s">
        <v>37</v>
      </c>
      <c r="D220" s="37" t="s">
        <v>14</v>
      </c>
      <c r="E220" s="10" t="s">
        <v>15</v>
      </c>
      <c r="F220" s="39">
        <v>9000</v>
      </c>
      <c r="G220" s="39">
        <v>12000</v>
      </c>
      <c r="H220" s="39">
        <f>G220-F220</f>
      </c>
      <c r="I220" s="40">
        <f>IF(F220&gt;0,(G220-F220)/F220,0)</f>
      </c>
      <c r="J220" s="41" t="s">
        <v>303</v>
      </c>
    </row>
    <row r="221" ht="22" customHeight="1" spans="1:10" x14ac:dyDescent="0.25">
      <c r="A221" s="28">
        <v>217</v>
      </c>
      <c r="B221" s="29" t="s">
        <v>308</v>
      </c>
      <c r="C221" s="28" t="s">
        <v>37</v>
      </c>
      <c r="D221" s="30" t="s">
        <v>14</v>
      </c>
      <c r="E221" s="10" t="s">
        <v>15</v>
      </c>
      <c r="F221" s="32">
        <v>14000</v>
      </c>
      <c r="G221" s="32">
        <v>17000</v>
      </c>
      <c r="H221" s="32">
        <f>G221-F221</f>
      </c>
      <c r="I221" s="33">
        <f>IF(F221&gt;0,(G221-F221)/F221,0)</f>
      </c>
      <c r="J221" s="34" t="s">
        <v>309</v>
      </c>
    </row>
    <row r="222" ht="22" customHeight="1" spans="1:10" x14ac:dyDescent="0.25">
      <c r="A222" s="35">
        <v>218</v>
      </c>
      <c r="B222" s="36" t="s">
        <v>460</v>
      </c>
      <c r="C222" s="35" t="s">
        <v>37</v>
      </c>
      <c r="D222" s="43" t="s">
        <v>40</v>
      </c>
      <c r="E222" s="10" t="s">
        <v>15</v>
      </c>
      <c r="F222" s="39">
        <v>6500</v>
      </c>
      <c r="G222" s="39">
        <v>9000</v>
      </c>
      <c r="H222" s="39">
        <f>G222-F222</f>
      </c>
      <c r="I222" s="40">
        <f>IF(F222&gt;0,(G222-F222)/F222,0)</f>
      </c>
      <c r="J222" s="41" t="s">
        <v>461</v>
      </c>
    </row>
    <row r="223" ht="22" customHeight="1" spans="1:10" x14ac:dyDescent="0.25">
      <c r="A223" s="28">
        <v>219</v>
      </c>
      <c r="B223" s="29" t="s">
        <v>93</v>
      </c>
      <c r="C223" s="28" t="s">
        <v>37</v>
      </c>
      <c r="D223" s="42" t="s">
        <v>40</v>
      </c>
      <c r="E223" s="23" t="s">
        <v>21</v>
      </c>
      <c r="F223" s="32">
        <v>8500</v>
      </c>
      <c r="G223" s="32">
        <v>11000</v>
      </c>
      <c r="H223" s="32">
        <f>G223-F223</f>
      </c>
      <c r="I223" s="33">
        <f>IF(F223&gt;0,(G223-F223)/F223,0)</f>
      </c>
      <c r="J223" s="34" t="s">
        <v>94</v>
      </c>
    </row>
    <row r="224" ht="22" customHeight="1" spans="1:10" x14ac:dyDescent="0.25">
      <c r="A224" s="35">
        <v>220</v>
      </c>
      <c r="B224" s="36" t="s">
        <v>466</v>
      </c>
      <c r="C224" s="35" t="s">
        <v>37</v>
      </c>
      <c r="D224" s="43" t="s">
        <v>40</v>
      </c>
      <c r="E224" s="10" t="s">
        <v>15</v>
      </c>
      <c r="F224" s="39">
        <v>13000</v>
      </c>
      <c r="G224" s="39">
        <v>16000</v>
      </c>
      <c r="H224" s="39">
        <f>G224-F224</f>
      </c>
      <c r="I224" s="40">
        <f>IF(F224&gt;0,(G224-F224)/F224,0)</f>
      </c>
      <c r="J224" s="41" t="s">
        <v>467</v>
      </c>
    </row>
    <row r="225" ht="22" customHeight="1" spans="1:10" x14ac:dyDescent="0.25">
      <c r="A225" s="28">
        <v>221</v>
      </c>
      <c r="B225" s="29" t="s">
        <v>462</v>
      </c>
      <c r="C225" s="28" t="s">
        <v>37</v>
      </c>
      <c r="D225" s="42" t="s">
        <v>40</v>
      </c>
      <c r="E225" s="10" t="s">
        <v>15</v>
      </c>
      <c r="F225" s="32">
        <v>20000</v>
      </c>
      <c r="G225" s="32">
        <v>23000</v>
      </c>
      <c r="H225" s="32">
        <f>G225-F225</f>
      </c>
      <c r="I225" s="33">
        <f>IF(F225&gt;0,(G225-F225)/F225,0)</f>
      </c>
      <c r="J225" s="34" t="s">
        <v>463</v>
      </c>
    </row>
    <row r="226" ht="22" customHeight="1" spans="1:10" x14ac:dyDescent="0.25">
      <c r="A226" s="35">
        <v>222</v>
      </c>
      <c r="B226" s="36" t="s">
        <v>464</v>
      </c>
      <c r="C226" s="35" t="s">
        <v>37</v>
      </c>
      <c r="D226" s="43" t="s">
        <v>40</v>
      </c>
      <c r="E226" s="10" t="s">
        <v>15</v>
      </c>
      <c r="F226" s="39">
        <v>17000</v>
      </c>
      <c r="G226" s="39">
        <v>20000</v>
      </c>
      <c r="H226" s="39">
        <f>G226-F226</f>
      </c>
      <c r="I226" s="40">
        <f>IF(F226&gt;0,(G226-F226)/F226,0)</f>
      </c>
      <c r="J226" s="41" t="s">
        <v>465</v>
      </c>
    </row>
    <row r="227" ht="22" customHeight="1" spans="1:10" x14ac:dyDescent="0.25">
      <c r="A227" s="28">
        <v>223</v>
      </c>
      <c r="B227" s="29" t="s">
        <v>91</v>
      </c>
      <c r="C227" s="28" t="s">
        <v>37</v>
      </c>
      <c r="D227" s="30" t="s">
        <v>14</v>
      </c>
      <c r="E227" s="23" t="s">
        <v>21</v>
      </c>
      <c r="F227" s="32">
        <v>30000</v>
      </c>
      <c r="G227" s="32">
        <v>33000</v>
      </c>
      <c r="H227" s="32">
        <f>G227-F227</f>
      </c>
      <c r="I227" s="33">
        <f>IF(F227&gt;0,(G227-F227)/F227,0)</f>
      </c>
      <c r="J227" s="34" t="s">
        <v>92</v>
      </c>
    </row>
    <row r="228" ht="22" customHeight="1" spans="1:10" x14ac:dyDescent="0.25">
      <c r="A228" s="35">
        <v>224</v>
      </c>
      <c r="B228" s="36" t="s">
        <v>501</v>
      </c>
      <c r="C228" s="35" t="s">
        <v>37</v>
      </c>
      <c r="D228" s="37" t="s">
        <v>14</v>
      </c>
      <c r="E228" s="10" t="s">
        <v>15</v>
      </c>
      <c r="F228" s="39">
        <v>27500</v>
      </c>
      <c r="G228" s="39">
        <v>30000</v>
      </c>
      <c r="H228" s="39">
        <f>G228-F228</f>
      </c>
      <c r="I228" s="40">
        <f>IF(F228&gt;0,(G228-F228)/F228,0)</f>
      </c>
      <c r="J228" s="41" t="s">
        <v>502</v>
      </c>
    </row>
    <row r="229" ht="22" customHeight="1" spans="1:10" x14ac:dyDescent="0.25">
      <c r="A229" s="28">
        <v>225</v>
      </c>
      <c r="B229" s="29" t="s">
        <v>484</v>
      </c>
      <c r="C229" s="28" t="s">
        <v>37</v>
      </c>
      <c r="D229" s="30" t="s">
        <v>14</v>
      </c>
      <c r="E229" s="10" t="s">
        <v>15</v>
      </c>
      <c r="F229" s="32">
        <v>50000</v>
      </c>
      <c r="G229" s="32">
        <v>54000</v>
      </c>
      <c r="H229" s="32">
        <f>G229-F229</f>
      </c>
      <c r="I229" s="33">
        <f>IF(F229&gt;0,(G229-F229)/F229,0)</f>
      </c>
      <c r="J229" s="34" t="s">
        <v>485</v>
      </c>
    </row>
    <row r="230" ht="22" customHeight="1" spans="1:10" x14ac:dyDescent="0.25">
      <c r="A230" s="35">
        <v>226</v>
      </c>
      <c r="B230" s="36" t="s">
        <v>503</v>
      </c>
      <c r="C230" s="35" t="s">
        <v>37</v>
      </c>
      <c r="D230" s="37" t="s">
        <v>14</v>
      </c>
      <c r="E230" s="10" t="s">
        <v>15</v>
      </c>
      <c r="F230" s="39">
        <v>10000</v>
      </c>
      <c r="G230" s="39">
        <v>13000</v>
      </c>
      <c r="H230" s="39">
        <f>G230-F230</f>
      </c>
      <c r="I230" s="40">
        <f>IF(F230&gt;0,(G230-F230)/F230,0)</f>
      </c>
      <c r="J230" s="41" t="s">
        <v>504</v>
      </c>
    </row>
    <row r="231" ht="22" customHeight="1" spans="1:10" x14ac:dyDescent="0.25">
      <c r="A231" s="28">
        <v>227</v>
      </c>
      <c r="B231" s="29" t="s">
        <v>505</v>
      </c>
      <c r="C231" s="28" t="s">
        <v>37</v>
      </c>
      <c r="D231" s="30" t="s">
        <v>14</v>
      </c>
      <c r="E231" s="10" t="s">
        <v>15</v>
      </c>
      <c r="F231" s="32">
        <v>47500</v>
      </c>
      <c r="G231" s="32">
        <v>52000</v>
      </c>
      <c r="H231" s="32">
        <f>G231-F231</f>
      </c>
      <c r="I231" s="33">
        <f>IF(F231&gt;0,(G231-F231)/F231,0)</f>
      </c>
      <c r="J231" s="34" t="s">
        <v>506</v>
      </c>
    </row>
    <row r="232" ht="22" customHeight="1" spans="1:10" x14ac:dyDescent="0.25">
      <c r="A232" s="35">
        <v>228</v>
      </c>
      <c r="B232" s="36" t="s">
        <v>507</v>
      </c>
      <c r="C232" s="35" t="s">
        <v>37</v>
      </c>
      <c r="D232" s="37" t="s">
        <v>14</v>
      </c>
      <c r="E232" s="10" t="s">
        <v>15</v>
      </c>
      <c r="F232" s="39">
        <v>90000</v>
      </c>
      <c r="G232" s="39">
        <v>98000</v>
      </c>
      <c r="H232" s="39">
        <f>G232-F232</f>
      </c>
      <c r="I232" s="40">
        <f>IF(F232&gt;0,(G232-F232)/F232,0)</f>
      </c>
      <c r="J232" s="41" t="s">
        <v>508</v>
      </c>
    </row>
    <row r="233" ht="22" customHeight="1" spans="1:10" x14ac:dyDescent="0.25">
      <c r="A233" s="28">
        <v>229</v>
      </c>
      <c r="B233" s="29" t="s">
        <v>509</v>
      </c>
      <c r="C233" s="28" t="s">
        <v>37</v>
      </c>
      <c r="D233" s="42" t="s">
        <v>20</v>
      </c>
      <c r="E233" s="10" t="s">
        <v>15</v>
      </c>
      <c r="F233" s="32">
        <v>1500</v>
      </c>
      <c r="G233" s="32">
        <v>4000</v>
      </c>
      <c r="H233" s="32">
        <f>G233-F233</f>
      </c>
      <c r="I233" s="33">
        <f>IF(F233&gt;0,(G233-F233)/F233,0)</f>
      </c>
      <c r="J233" s="34" t="s">
        <v>510</v>
      </c>
    </row>
    <row r="234" ht="22" customHeight="1" spans="1:10" x14ac:dyDescent="0.25">
      <c r="A234" s="35">
        <v>230</v>
      </c>
      <c r="B234" s="36" t="s">
        <v>511</v>
      </c>
      <c r="C234" s="35" t="s">
        <v>37</v>
      </c>
      <c r="D234" s="37" t="s">
        <v>14</v>
      </c>
      <c r="E234" s="10" t="s">
        <v>15</v>
      </c>
      <c r="F234" s="39">
        <v>12000</v>
      </c>
      <c r="G234" s="39">
        <v>15000</v>
      </c>
      <c r="H234" s="39">
        <f>G234-F234</f>
      </c>
      <c r="I234" s="40">
        <f>IF(F234&gt;0,(G234-F234)/F234,0)</f>
      </c>
      <c r="J234" s="41" t="s">
        <v>512</v>
      </c>
    </row>
    <row r="235" ht="22" customHeight="1" spans="1:10" x14ac:dyDescent="0.25">
      <c r="A235" s="28">
        <v>231</v>
      </c>
      <c r="B235" s="29" t="s">
        <v>478</v>
      </c>
      <c r="C235" s="28" t="s">
        <v>37</v>
      </c>
      <c r="D235" s="30" t="s">
        <v>14</v>
      </c>
      <c r="E235" s="10" t="s">
        <v>15</v>
      </c>
      <c r="F235" s="32">
        <v>1708</v>
      </c>
      <c r="G235" s="32">
        <v>5000</v>
      </c>
      <c r="H235" s="32">
        <f>G235-F235</f>
      </c>
      <c r="I235" s="33">
        <f>IF(F235&gt;0,(G235-F235)/F235,0)</f>
      </c>
      <c r="J235" s="34" t="s">
        <v>479</v>
      </c>
    </row>
    <row r="236" ht="22" customHeight="1" spans="1:10" x14ac:dyDescent="0.25">
      <c r="A236" s="35">
        <v>232</v>
      </c>
      <c r="B236" s="36" t="s">
        <v>513</v>
      </c>
      <c r="C236" s="35" t="s">
        <v>37</v>
      </c>
      <c r="D236" s="43" t="s">
        <v>20</v>
      </c>
      <c r="E236" s="10" t="s">
        <v>15</v>
      </c>
      <c r="F236" s="39">
        <v>4500</v>
      </c>
      <c r="G236" s="39">
        <v>7000</v>
      </c>
      <c r="H236" s="39">
        <f>G236-F236</f>
      </c>
      <c r="I236" s="40">
        <f>IF(F236&gt;0,(G236-F236)/F236,0)</f>
      </c>
      <c r="J236" s="41" t="s">
        <v>514</v>
      </c>
    </row>
    <row r="237" ht="22" customHeight="1" spans="1:10" x14ac:dyDescent="0.25">
      <c r="A237" s="28">
        <v>233</v>
      </c>
      <c r="B237" s="29" t="s">
        <v>129</v>
      </c>
      <c r="C237" s="28" t="s">
        <v>37</v>
      </c>
      <c r="D237" s="30" t="s">
        <v>14</v>
      </c>
      <c r="E237" s="10" t="s">
        <v>15</v>
      </c>
      <c r="F237" s="32">
        <v>35000</v>
      </c>
      <c r="G237" s="32">
        <v>38000</v>
      </c>
      <c r="H237" s="32">
        <f>G237-F237</f>
      </c>
      <c r="I237" s="33">
        <f>IF(F237&gt;0,(G237-F237)/F237,0)</f>
      </c>
      <c r="J237" s="34" t="s">
        <v>130</v>
      </c>
    </row>
    <row r="238" ht="22" customHeight="1" spans="1:10" x14ac:dyDescent="0.25">
      <c r="A238" s="35">
        <v>234</v>
      </c>
      <c r="B238" s="36" t="s">
        <v>476</v>
      </c>
      <c r="C238" s="35" t="s">
        <v>37</v>
      </c>
      <c r="D238" s="37" t="s">
        <v>14</v>
      </c>
      <c r="E238" s="10" t="s">
        <v>15</v>
      </c>
      <c r="F238" s="39">
        <v>10000</v>
      </c>
      <c r="G238" s="39">
        <v>13000</v>
      </c>
      <c r="H238" s="39">
        <f>G238-F238</f>
      </c>
      <c r="I238" s="40">
        <f>IF(F238&gt;0,(G238-F238)/F238,0)</f>
      </c>
      <c r="J238" s="41" t="s">
        <v>477</v>
      </c>
    </row>
    <row r="239" ht="22" customHeight="1" spans="1:10" x14ac:dyDescent="0.25">
      <c r="A239" s="28">
        <v>235</v>
      </c>
      <c r="B239" s="29" t="s">
        <v>173</v>
      </c>
      <c r="C239" s="28" t="s">
        <v>37</v>
      </c>
      <c r="D239" s="30" t="s">
        <v>14</v>
      </c>
      <c r="E239" s="23" t="s">
        <v>21</v>
      </c>
      <c r="F239" s="32">
        <v>12000</v>
      </c>
      <c r="G239" s="32">
        <v>15000</v>
      </c>
      <c r="H239" s="32">
        <f>G239-F239</f>
      </c>
      <c r="I239" s="33">
        <f>IF(F239&gt;0,(G239-F239)/F239,0)</f>
      </c>
      <c r="J239" s="34" t="s">
        <v>174</v>
      </c>
    </row>
    <row r="240" ht="22" customHeight="1" spans="1:10" x14ac:dyDescent="0.25">
      <c r="A240" s="35">
        <v>236</v>
      </c>
      <c r="B240" s="36" t="s">
        <v>171</v>
      </c>
      <c r="C240" s="35" t="s">
        <v>37</v>
      </c>
      <c r="D240" s="37" t="s">
        <v>14</v>
      </c>
      <c r="E240" s="23" t="s">
        <v>21</v>
      </c>
      <c r="F240" s="39">
        <v>16500</v>
      </c>
      <c r="G240" s="39">
        <v>19000</v>
      </c>
      <c r="H240" s="39">
        <f>G240-F240</f>
      </c>
      <c r="I240" s="40">
        <f>IF(F240&gt;0,(G240-F240)/F240,0)</f>
      </c>
      <c r="J240" s="41" t="s">
        <v>172</v>
      </c>
    </row>
    <row r="241" ht="22" customHeight="1" spans="1:10" x14ac:dyDescent="0.25">
      <c r="A241" s="28">
        <v>237</v>
      </c>
      <c r="B241" s="29" t="s">
        <v>515</v>
      </c>
      <c r="C241" s="28" t="s">
        <v>37</v>
      </c>
      <c r="D241" s="30" t="s">
        <v>14</v>
      </c>
      <c r="E241" s="10" t="s">
        <v>15</v>
      </c>
      <c r="F241" s="32">
        <v>11500</v>
      </c>
      <c r="G241" s="32">
        <v>14000</v>
      </c>
      <c r="H241" s="32">
        <f>G241-F241</f>
      </c>
      <c r="I241" s="33">
        <f>IF(F241&gt;0,(G241-F241)/F241,0)</f>
      </c>
      <c r="J241" s="34" t="s">
        <v>516</v>
      </c>
    </row>
    <row r="242" ht="22" customHeight="1" spans="1:10" x14ac:dyDescent="0.25">
      <c r="A242" s="35">
        <v>238</v>
      </c>
      <c r="B242" s="36" t="s">
        <v>517</v>
      </c>
      <c r="C242" s="35" t="s">
        <v>37</v>
      </c>
      <c r="D242" s="37" t="s">
        <v>14</v>
      </c>
      <c r="E242" s="10" t="s">
        <v>15</v>
      </c>
      <c r="F242" s="39">
        <v>52500</v>
      </c>
      <c r="G242" s="39">
        <v>57000</v>
      </c>
      <c r="H242" s="39">
        <f>G242-F242</f>
      </c>
      <c r="I242" s="40">
        <f>IF(F242&gt;0,(G242-F242)/F242,0)</f>
      </c>
      <c r="J242" s="41" t="s">
        <v>518</v>
      </c>
    </row>
    <row r="243" ht="22" customHeight="1" spans="1:10" x14ac:dyDescent="0.25">
      <c r="A243" s="28">
        <v>239</v>
      </c>
      <c r="B243" s="29" t="s">
        <v>482</v>
      </c>
      <c r="C243" s="28" t="s">
        <v>37</v>
      </c>
      <c r="D243" s="30" t="s">
        <v>14</v>
      </c>
      <c r="E243" s="10" t="s">
        <v>15</v>
      </c>
      <c r="F243" s="32">
        <v>31250</v>
      </c>
      <c r="G243" s="32">
        <v>34000</v>
      </c>
      <c r="H243" s="32">
        <f>G243-F243</f>
      </c>
      <c r="I243" s="33">
        <f>IF(F243&gt;0,(G243-F243)/F243,0)</f>
      </c>
      <c r="J243" s="34" t="s">
        <v>483</v>
      </c>
    </row>
    <row r="244" ht="22" customHeight="1" spans="1:10" x14ac:dyDescent="0.25">
      <c r="A244" s="35">
        <v>240</v>
      </c>
      <c r="B244" s="36" t="s">
        <v>519</v>
      </c>
      <c r="C244" s="35" t="s">
        <v>37</v>
      </c>
      <c r="D244" s="37" t="s">
        <v>14</v>
      </c>
      <c r="E244" s="10" t="s">
        <v>15</v>
      </c>
      <c r="F244" s="39">
        <v>16000</v>
      </c>
      <c r="G244" s="39">
        <v>19000</v>
      </c>
      <c r="H244" s="39">
        <f>G244-F244</f>
      </c>
      <c r="I244" s="40">
        <f>IF(F244&gt;0,(G244-F244)/F244,0)</f>
      </c>
      <c r="J244" s="41" t="s">
        <v>520</v>
      </c>
    </row>
    <row r="245" ht="22" customHeight="1" spans="1:10" x14ac:dyDescent="0.25">
      <c r="A245" s="28">
        <v>241</v>
      </c>
      <c r="B245" s="29" t="s">
        <v>480</v>
      </c>
      <c r="C245" s="28" t="s">
        <v>37</v>
      </c>
      <c r="D245" s="30" t="s">
        <v>14</v>
      </c>
      <c r="E245" s="10" t="s">
        <v>15</v>
      </c>
      <c r="F245" s="32">
        <v>65000</v>
      </c>
      <c r="G245" s="32">
        <v>71000</v>
      </c>
      <c r="H245" s="32">
        <f>G245-F245</f>
      </c>
      <c r="I245" s="33">
        <f>IF(F245&gt;0,(G245-F245)/F245,0)</f>
      </c>
      <c r="J245" s="34" t="s">
        <v>481</v>
      </c>
    </row>
    <row r="246" ht="22" customHeight="1" spans="1:10" x14ac:dyDescent="0.25">
      <c r="A246" s="35">
        <v>242</v>
      </c>
      <c r="B246" s="36" t="s">
        <v>521</v>
      </c>
      <c r="C246" s="35" t="s">
        <v>37</v>
      </c>
      <c r="D246" s="37" t="s">
        <v>14</v>
      </c>
      <c r="E246" s="10" t="s">
        <v>15</v>
      </c>
      <c r="F246" s="39">
        <v>100000</v>
      </c>
      <c r="G246" s="39">
        <v>108000</v>
      </c>
      <c r="H246" s="39">
        <f>G246-F246</f>
      </c>
      <c r="I246" s="40">
        <f>IF(F246&gt;0,(G246-F246)/F246,0)</f>
      </c>
      <c r="J246" s="41" t="s">
        <v>522</v>
      </c>
    </row>
    <row r="247" ht="22" customHeight="1" spans="1:10" x14ac:dyDescent="0.25">
      <c r="A247" s="28">
        <v>243</v>
      </c>
      <c r="B247" s="29" t="s">
        <v>131</v>
      </c>
      <c r="C247" s="28" t="s">
        <v>37</v>
      </c>
      <c r="D247" s="30" t="s">
        <v>14</v>
      </c>
      <c r="E247" s="10" t="s">
        <v>15</v>
      </c>
      <c r="F247" s="32">
        <v>50000</v>
      </c>
      <c r="G247" s="32">
        <v>54000</v>
      </c>
      <c r="H247" s="32">
        <f>G247-F247</f>
      </c>
      <c r="I247" s="33">
        <f>IF(F247&gt;0,(G247-F247)/F247,0)</f>
      </c>
      <c r="J247" s="34" t="s">
        <v>132</v>
      </c>
    </row>
    <row r="248" ht="22" customHeight="1" spans="1:10" x14ac:dyDescent="0.25">
      <c r="A248" s="35">
        <v>244</v>
      </c>
      <c r="B248" s="36" t="s">
        <v>125</v>
      </c>
      <c r="C248" s="35" t="s">
        <v>37</v>
      </c>
      <c r="D248" s="37" t="s">
        <v>14</v>
      </c>
      <c r="E248" s="10" t="s">
        <v>15</v>
      </c>
      <c r="F248" s="39">
        <v>105000</v>
      </c>
      <c r="G248" s="39">
        <v>114000</v>
      </c>
      <c r="H248" s="39">
        <f>G248-F248</f>
      </c>
      <c r="I248" s="40">
        <f>IF(F248&gt;0,(G248-F248)/F248,0)</f>
      </c>
      <c r="J248" s="41" t="s">
        <v>126</v>
      </c>
    </row>
    <row r="249" ht="22" customHeight="1" spans="1:10" x14ac:dyDescent="0.25">
      <c r="A249" s="28">
        <v>245</v>
      </c>
      <c r="B249" s="29" t="s">
        <v>127</v>
      </c>
      <c r="C249" s="28" t="s">
        <v>37</v>
      </c>
      <c r="D249" s="30" t="s">
        <v>14</v>
      </c>
      <c r="E249" s="10" t="s">
        <v>15</v>
      </c>
      <c r="F249" s="32">
        <v>95000</v>
      </c>
      <c r="G249" s="32">
        <v>103000</v>
      </c>
      <c r="H249" s="32">
        <f>G249-F249</f>
      </c>
      <c r="I249" s="33">
        <f>IF(F249&gt;0,(G249-F249)/F249,0)</f>
      </c>
      <c r="J249" s="34" t="s">
        <v>128</v>
      </c>
    </row>
  </sheetData>
  <autoFilter ref="A4:J249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Produk Aktif</vt:lpstr>
      <vt:lpstr>Semua Produk (DB)</vt:lpstr>
      <vt:lpstr>Katalog Fallback (JSON)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Asterra Store Management System</dc:creator>
  <dc:title/>
  <dc:subject/>
  <dc:description/>
  <cp:keywords/>
  <cp:category/>
  <cp:lastModifiedBy>Admin Asterra Store</cp:lastModifiedBy>
  <dcterms:created xsi:type="dcterms:W3CDTF">2026-10-01T15:49:30Z</dcterms:created>
  <dcterms:modified xsi:type="dcterms:W3CDTF">2026-10-01T15:49:30Z</dcterms:modified>
</cp:coreProperties>
</file>