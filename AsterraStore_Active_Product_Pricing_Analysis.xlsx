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CTIVE_PRODUCTS_RAW" sheetId="2" state="visible" r:id="rId2"/>
    <sheet xmlns:r="http://schemas.openxmlformats.org/officeDocument/2006/relationships" name="PRICING_ANALYSIS" sheetId="3" state="visible" r:id="rId3"/>
    <sheet xmlns:r="http://schemas.openxmlformats.org/officeDocument/2006/relationships" name="COMMISSION_ANALYSIS" sheetId="4" state="visible" r:id="rId4"/>
    <sheet xmlns:r="http://schemas.openxmlformats.org/officeDocument/2006/relationships" name="COMMISSION_RULES" sheetId="5" state="visible" r:id="rId5"/>
    <sheet xmlns:r="http://schemas.openxmlformats.org/officeDocument/2006/relationships" name="PROMO_SIMULATION" sheetId="6" state="visible" r:id="rId6"/>
    <sheet xmlns:r="http://schemas.openxmlformats.org/officeDocument/2006/relationships" name="DATA_QUALIT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Rp #,##0"/>
    <numFmt numFmtId="165" formatCode="0.0%"/>
  </numFmts>
  <fonts count="11">
    <font>
      <name val="Calibri"/>
      <family val="2"/>
      <color theme="1"/>
      <sz val="11"/>
      <scheme val="minor"/>
    </font>
    <font>
      <name val="Segoe UI"/>
      <b val="1"/>
      <color rgb="00FFFFFF"/>
      <sz val="15"/>
    </font>
    <font>
      <name val="Segoe UI"/>
      <i val="1"/>
      <color rgb="00F7F5EF"/>
      <sz val="9"/>
    </font>
    <font>
      <name val="Segoe UI"/>
      <b val="1"/>
      <color rgb="00FFFFFF"/>
      <sz val="9"/>
    </font>
    <font>
      <name val="Segoe UI"/>
      <color rgb="00121A2A"/>
      <sz val="9"/>
    </font>
    <font>
      <name val="Consolas"/>
      <color rgb="00121A2A"/>
      <sz val="9"/>
    </font>
    <font>
      <name val="Segoe UI"/>
      <b val="1"/>
      <color rgb="00166534"/>
      <sz val="8"/>
    </font>
    <font>
      <name val="Segoe UI"/>
      <b val="1"/>
      <color rgb="0092400E"/>
      <sz val="8"/>
    </font>
    <font>
      <name val="Segoe UI"/>
      <b val="1"/>
      <color rgb="00991B1B"/>
      <sz val="8"/>
    </font>
    <font>
      <name val="Segoe UI"/>
      <b val="1"/>
      <color rgb="00121A2A"/>
      <sz val="11"/>
    </font>
    <font>
      <name val="Segoe UI"/>
      <b val="1"/>
      <color rgb="00121A2A"/>
      <sz val="9"/>
    </font>
  </fonts>
  <fills count="9">
    <fill>
      <patternFill/>
    </fill>
    <fill>
      <patternFill patternType="gray125"/>
    </fill>
    <fill>
      <patternFill patternType="solid">
        <fgColor rgb="00121A2A"/>
        <bgColor rgb="00121A2A"/>
      </patternFill>
    </fill>
    <fill>
      <patternFill patternType="solid">
        <fgColor rgb="00C96F55"/>
        <bgColor rgb="00C96F55"/>
      </patternFill>
    </fill>
    <fill>
      <patternFill patternType="solid">
        <fgColor rgb="00FFFFFF"/>
        <bgColor rgb="00FFFFFF"/>
      </patternFill>
    </fill>
    <fill>
      <patternFill patternType="solid">
        <fgColor rgb="00FBF9F4"/>
        <bgColor rgb="00FBF9F4"/>
      </patternFill>
    </fill>
    <fill>
      <patternFill patternType="solid">
        <fgColor rgb="00DCFCE7"/>
        <bgColor rgb="00DCFCE7"/>
      </patternFill>
    </fill>
    <fill>
      <patternFill patternType="solid">
        <fgColor rgb="00FEF3C7"/>
        <bgColor rgb="00FEF3C7"/>
      </patternFill>
    </fill>
    <fill>
      <patternFill patternType="solid">
        <fgColor rgb="00FEE2E2"/>
        <bgColor rgb="00FEE2E2"/>
      </patternFill>
    </fill>
  </fills>
  <borders count="3">
    <border>
      <left/>
      <right/>
      <top/>
      <bottom/>
      <diagonal/>
    </border>
    <border>
      <left style="thin">
        <color rgb="00D5CFBF"/>
      </left>
      <right style="thin">
        <color rgb="00D5CFBF"/>
      </right>
      <top style="thin">
        <color rgb="00D5CFBF"/>
      </top>
      <bottom style="thin">
        <color rgb="00D5CFBF"/>
      </bottom>
    </border>
    <border>
      <left style="thin">
        <color rgb="00D5CFBF"/>
      </left>
      <right style="thin">
        <color rgb="00D5CFBF"/>
      </right>
      <top style="thin">
        <color rgb="00D5CFBF"/>
      </top>
      <bottom style="double">
        <color rgb="00121A2A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9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left" vertical="center"/>
    </xf>
    <xf numFmtId="3" fontId="10" fillId="5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left" vertical="center"/>
    </xf>
    <xf numFmtId="3" fontId="10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left" vertical="center"/>
    </xf>
    <xf numFmtId="164" fontId="10" fillId="4" borderId="1" applyAlignment="1" pivotButton="0" quotePrefix="0" xfId="0">
      <alignment horizontal="right" vertical="center"/>
    </xf>
    <xf numFmtId="164" fontId="10" fillId="5" borderId="1" applyAlignment="1" pivotButton="0" quotePrefix="0" xfId="0">
      <alignment horizontal="right" vertical="center"/>
    </xf>
    <xf numFmtId="165" fontId="10" fillId="5" borderId="1" applyAlignment="1" pivotButton="0" quotePrefix="0" xfId="0">
      <alignment horizontal="right" vertical="center"/>
    </xf>
    <xf numFmtId="165" fontId="10" fillId="4" borderId="1" applyAlignment="1" pivotButton="0" quotePrefix="0" xfId="0">
      <alignment horizontal="right" vertical="center"/>
    </xf>
    <xf numFmtId="3" fontId="4" fillId="5" borderId="1" applyAlignment="1" pivotButton="0" quotePrefix="0" xfId="0">
      <alignment horizontal="right" vertical="center"/>
    </xf>
    <xf numFmtId="164" fontId="4" fillId="5" borderId="1" applyAlignment="1" pivotButton="0" quotePrefix="0" xfId="0">
      <alignment horizontal="right" vertical="center"/>
    </xf>
    <xf numFmtId="165" fontId="4" fillId="5" borderId="1" applyAlignment="1" pivotButton="0" quotePrefix="0" xfId="0">
      <alignment horizontal="right" vertical="center"/>
    </xf>
    <xf numFmtId="3" fontId="4" fillId="4" borderId="1" applyAlignment="1" pivotButton="0" quotePrefix="0" xfId="0">
      <alignment horizontal="right" vertical="center"/>
    </xf>
    <xf numFmtId="164" fontId="4" fillId="4" borderId="1" applyAlignment="1" pivotButton="0" quotePrefix="0" xfId="0">
      <alignment horizontal="right" vertical="center"/>
    </xf>
    <xf numFmtId="165" fontId="4" fillId="4" borderId="1" applyAlignment="1" pivotButton="0" quotePrefix="0" xfId="0">
      <alignment horizontal="right" vertical="center"/>
    </xf>
    <xf numFmtId="0" fontId="3" fillId="2" borderId="2" pivotButton="0" quotePrefix="0" xfId="0"/>
    <xf numFmtId="3" fontId="3" fillId="2" borderId="2" applyAlignment="1" pivotButton="0" quotePrefix="0" xfId="0">
      <alignment horizontal="right" vertical="center"/>
    </xf>
    <xf numFmtId="164" fontId="3" fillId="2" borderId="2" applyAlignment="1" pivotButton="0" quotePrefix="0" xfId="0">
      <alignment horizontal="right" vertical="center"/>
    </xf>
    <xf numFmtId="165" fontId="3" fillId="2" borderId="2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/>
    </xf>
    <xf numFmtId="0" fontId="0" fillId="2" borderId="2" pivotButton="0" quotePrefix="0" xfId="0"/>
    <xf numFmtId="0" fontId="6" fillId="6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10" fillId="5" borderId="1" pivotButton="0" quotePrefix="0" xfId="0"/>
    <xf numFmtId="0" fontId="4" fillId="5" borderId="1" pivotButton="0" quotePrefix="0" xfId="0"/>
    <xf numFmtId="0" fontId="10" fillId="4" borderId="1" pivotButton="0" quotePrefix="0" xfId="0"/>
    <xf numFmtId="0" fontId="4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showGridLines="1" workbookViewId="0">
      <selection activeCell="A1" sqref="A1"/>
    </sheetView>
  </sheetViews>
  <sheetFormatPr baseColWidth="8" defaultRowHeight="15"/>
  <cols>
    <col width="332" customWidth="1" min="1" max="1"/>
    <col width="56" customWidth="1" min="2" max="2"/>
    <col width="84" customWidth="1" min="3" max="3"/>
    <col width="84" customWidth="1" min="4" max="4"/>
    <col width="84" customWidth="1" min="5" max="5"/>
    <col width="19" customWidth="1" min="6" max="6"/>
    <col width="80" customWidth="1" min="7" max="7"/>
  </cols>
  <sheetData>
    <row r="1" ht="32" customHeight="1">
      <c r="A1" s="1" t="inlineStr">
        <is>
          <t>ASTERRA STORE — ACTIVE PRODUCT PRICING ANALYSIS DASHBOARD</t>
        </is>
      </c>
    </row>
    <row r="2" ht="20" customHeight="1">
      <c r="A2" s="2" t="inlineStr">
        <is>
          <t>Executive Summary &amp; Health Matrix | Scope: 37 Active Storefront Products | Currency: IDR (Rupiah) | Tanggal Analisis: 02 October 2026</t>
        </is>
      </c>
    </row>
    <row r="3"/>
    <row r="4" ht="24" customHeight="1">
      <c r="A4" s="3" t="inlineStr">
        <is>
          <t>RINGKASAN EKSEKUTIF INDIKATOR UTAMA (KPI)</t>
        </is>
      </c>
    </row>
    <row r="5" ht="22" customHeight="1">
      <c r="A5" s="4" t="inlineStr">
        <is>
          <t>No</t>
        </is>
      </c>
      <c r="B5" s="4" t="inlineStr">
        <is>
          <t>Metrik Keuangan &amp; Operasional</t>
        </is>
      </c>
      <c r="C5" s="4" t="inlineStr">
        <is>
          <t>Nilai Aktual</t>
        </is>
      </c>
      <c r="D5" s="4" t="inlineStr">
        <is>
          <t>Satuan / Format</t>
        </is>
      </c>
      <c r="E5" s="4" t="inlineStr">
        <is>
          <t>Keterangan Strategis</t>
        </is>
      </c>
    </row>
    <row r="6" ht="20" customHeight="1">
      <c r="A6" s="5" t="n">
        <v>1</v>
      </c>
      <c r="B6" s="6" t="inlineStr">
        <is>
          <t>Total Produk Aktif</t>
        </is>
      </c>
      <c r="C6" s="7">
        <f>COUNTA(ACTIVE_PRODUCTS_RAW!A5:A41)</f>
        <v/>
      </c>
      <c r="D6" s="5" t="inlineStr">
        <is>
          <t>Produk</t>
        </is>
      </c>
      <c r="E6" s="8" t="inlineStr">
        <is>
          <t>Semua produk yang ditampilkan di website</t>
        </is>
      </c>
    </row>
    <row r="7" ht="20" customHeight="1">
      <c r="A7" s="9" t="n">
        <v>2</v>
      </c>
      <c r="B7" s="10" t="inlineStr">
        <is>
          <t>Produk Memenuhi Minimum Profit (&gt;= Rp3.000)</t>
        </is>
      </c>
      <c r="C7" s="11">
        <f>COUNTIF(PRICING_ANALYSIS!L5:L41, "MEETS MINIMUM")</f>
        <v/>
      </c>
      <c r="D7" s="9" t="inlineStr">
        <is>
          <t>Produk</t>
        </is>
      </c>
      <c r="E7" s="12" t="inlineStr">
        <is>
          <t>Memenuhi standar laba minimum Rp3.000</t>
        </is>
      </c>
    </row>
    <row r="8" ht="20" customHeight="1">
      <c r="A8" s="5" t="n">
        <v>3</v>
      </c>
      <c r="B8" s="6" t="inlineStr">
        <is>
          <t>Produk Di Bawah Minimum (&lt; Rp3.000)</t>
        </is>
      </c>
      <c r="C8" s="7">
        <f>COUNTIF(PRICING_ANALYSIS!L5:L41, "BELOW MINIMUM")</f>
        <v/>
      </c>
      <c r="D8" s="5" t="inlineStr">
        <is>
          <t>Produk</t>
        </is>
      </c>
      <c r="E8" s="8" t="inlineStr">
        <is>
          <t>Perlu tinjauan kenaikan harga jual</t>
        </is>
      </c>
    </row>
    <row r="9" ht="20" customHeight="1">
      <c r="A9" s="9" t="n">
        <v>4</v>
      </c>
      <c r="B9" s="10" t="inlineStr">
        <is>
          <t>Produk Pricing Manual (Gemini Pro)</t>
        </is>
      </c>
      <c r="C9" s="11">
        <f>COUNTIF(PRICING_ANALYSIS!M5:M41, "MANUAL")</f>
        <v/>
      </c>
      <c r="D9" s="9" t="inlineStr">
        <is>
          <t>Produk</t>
        </is>
      </c>
      <c r="E9" s="12" t="inlineStr">
        <is>
          <t>Tingkatan harga resmi (price ladder)</t>
        </is>
      </c>
    </row>
    <row r="10" ht="20" customHeight="1">
      <c r="A10" s="5" t="n">
        <v>5</v>
      </c>
      <c r="B10" s="6" t="inlineStr">
        <is>
          <t>Produk Butuh Tinjauan (Review Flag)</t>
        </is>
      </c>
      <c r="C10" s="7">
        <f>COUNTIF(PRICING_ANALYSIS!AC5:AC41, "&lt;&gt;OK")</f>
        <v/>
      </c>
      <c r="D10" s="5" t="inlineStr">
        <is>
          <t>Produk</t>
        </is>
      </c>
      <c r="E10" s="8" t="inlineStr">
        <is>
          <t>Item manual review atau margin tipis</t>
        </is>
      </c>
    </row>
    <row r="11" ht="20" customHeight="1">
      <c r="A11" s="9" t="n">
        <v>6</v>
      </c>
      <c r="B11" s="10" t="inlineStr">
        <is>
          <t>Rata-rata Harga Modal Pabrik</t>
        </is>
      </c>
      <c r="C11" s="13">
        <f>AVERAGE(PRICING_ANALYSIS!E5:E41)</f>
        <v/>
      </c>
      <c r="D11" s="9" t="inlineStr">
        <is>
          <t>Rupiah (IDR)</t>
        </is>
      </c>
      <c r="E11" s="12" t="inlineStr">
        <is>
          <t>Rata-rata modal dari supplier resmi</t>
        </is>
      </c>
    </row>
    <row r="12" ht="20" customHeight="1">
      <c r="A12" s="5" t="n">
        <v>7</v>
      </c>
      <c r="B12" s="6" t="inlineStr">
        <is>
          <t>Rata-rata Harga Jual Asterra</t>
        </is>
      </c>
      <c r="C12" s="14">
        <f>AVERAGE(PRICING_ANALYSIS!F5:F41)</f>
        <v/>
      </c>
      <c r="D12" s="5" t="inlineStr">
        <is>
          <t>Rupiah (IDR)</t>
        </is>
      </c>
      <c r="E12" s="8" t="inlineStr">
        <is>
          <t>Rata-rata harga katalog konsumen</t>
        </is>
      </c>
    </row>
    <row r="13" ht="20" customHeight="1">
      <c r="A13" s="9" t="n">
        <v>8</v>
      </c>
      <c r="B13" s="10" t="inlineStr">
        <is>
          <t>Rata-rata Laba Kotor (Gross Profit)</t>
        </is>
      </c>
      <c r="C13" s="13">
        <f>AVERAGE(PRICING_ANALYSIS!G5:G41)</f>
        <v/>
      </c>
      <c r="D13" s="9" t="inlineStr">
        <is>
          <t>Rupiah (IDR)</t>
        </is>
      </c>
      <c r="E13" s="12" t="inlineStr">
        <is>
          <t>Laba kotor rata-rata per transaksi</t>
        </is>
      </c>
    </row>
    <row r="14" ht="20" customHeight="1">
      <c r="A14" s="5" t="n">
        <v>9</v>
      </c>
      <c r="B14" s="6" t="inlineStr">
        <is>
          <t>Rata-rata Gross Margin (%)</t>
        </is>
      </c>
      <c r="C14" s="15">
        <f>AVERAGE(PRICING_ANALYSIS!H5:H41)</f>
        <v/>
      </c>
      <c r="D14" s="5" t="inlineStr">
        <is>
          <t>Persentase</t>
        </is>
      </c>
      <c r="E14" s="8" t="inlineStr">
        <is>
          <t>Rasio laba kotor terhadap harga jual</t>
        </is>
      </c>
    </row>
    <row r="15" ht="20" customHeight="1">
      <c r="A15" s="9" t="n">
        <v>10</v>
      </c>
      <c r="B15" s="10" t="inlineStr">
        <is>
          <t>Rata-rata Markup (%)</t>
        </is>
      </c>
      <c r="C15" s="16">
        <f>AVERAGE(PRICING_ANALYSIS!I5:I41)</f>
        <v/>
      </c>
      <c r="D15" s="9" t="inlineStr">
        <is>
          <t>Persentase</t>
        </is>
      </c>
      <c r="E15" s="12" t="inlineStr">
        <is>
          <t>Persentase kenaikan harga di atas modal</t>
        </is>
      </c>
    </row>
    <row r="16" ht="20" customHeight="1">
      <c r="A16" s="5" t="n">
        <v>11</v>
      </c>
      <c r="B16" s="6" t="inlineStr">
        <is>
          <t>Rata-rata Diskon Promo Customer</t>
        </is>
      </c>
      <c r="C16" s="14">
        <f>AVERAGE(PRICING_ANALYSIS!V5:V41)</f>
        <v/>
      </c>
      <c r="D16" s="5" t="inlineStr">
        <is>
          <t>Rupiah (IDR)</t>
        </is>
      </c>
      <c r="E16" s="8" t="inlineStr">
        <is>
          <t>Diskon 5% maks. Rp5.000 per order</t>
        </is>
      </c>
    </row>
    <row r="17"/>
    <row r="18" ht="24" customHeight="1">
      <c r="A18" s="3" t="inlineStr">
        <is>
          <t>ANALISIS LABA &amp; MARGIN BERDASARKAN KATEGORI</t>
        </is>
      </c>
    </row>
    <row r="19" ht="22" customHeight="1">
      <c r="A19" s="4" t="inlineStr">
        <is>
          <t>Kategori Produk</t>
        </is>
      </c>
      <c r="B19" s="4" t="inlineStr">
        <is>
          <t>Jumlah Produk</t>
        </is>
      </c>
      <c r="C19" s="4" t="inlineStr">
        <is>
          <t>Rata-rata Modal</t>
        </is>
      </c>
      <c r="D19" s="4" t="inlineStr">
        <is>
          <t>Rata-rata Harga Jual</t>
        </is>
      </c>
      <c r="E19" s="4" t="inlineStr">
        <is>
          <t>Rata-rata Laba Kotor</t>
        </is>
      </c>
      <c r="F19" s="4" t="inlineStr">
        <is>
          <t>Gross Margin (%)</t>
        </is>
      </c>
      <c r="G19" s="4" t="inlineStr">
        <is>
          <t>Total Potensi Laba</t>
        </is>
      </c>
    </row>
    <row r="20" ht="20" customHeight="1">
      <c r="A20" s="6" t="inlineStr">
        <is>
          <t>AI Tools</t>
        </is>
      </c>
      <c r="B20" s="17">
        <f>COUNTIF(PRICING_ANALYSIS!D5:D41, "AI Tools")</f>
        <v/>
      </c>
      <c r="C20" s="18">
        <f>AVERAGEIFS(PRICING_ANALYSIS!E5:E41, PRICING_ANALYSIS!D5:D41, "AI Tools")</f>
        <v/>
      </c>
      <c r="D20" s="18">
        <f>AVERAGEIFS(PRICING_ANALYSIS!F5:F41, PRICING_ANALYSIS!D5:D41, "AI Tools")</f>
        <v/>
      </c>
      <c r="E20" s="18">
        <f>AVERAGEIFS(PRICING_ANALYSIS!G5:G41, PRICING_ANALYSIS!D5:D41, "AI Tools")</f>
        <v/>
      </c>
      <c r="F20" s="19">
        <f>E20/D20</f>
        <v/>
      </c>
      <c r="G20" s="18">
        <f>SUMIFS(PRICING_ANALYSIS!G5:G41, PRICING_ANALYSIS!D5:D41, "AI Tools")</f>
        <v/>
      </c>
    </row>
    <row r="21" ht="20" customHeight="1">
      <c r="A21" s="10" t="inlineStr">
        <is>
          <t>Apps &amp; Streaming</t>
        </is>
      </c>
      <c r="B21" s="20">
        <f>COUNTIF(PRICING_ANALYSIS!D5:D41, "Apps &amp; Streaming")</f>
        <v/>
      </c>
      <c r="C21" s="21">
        <f>AVERAGEIFS(PRICING_ANALYSIS!E5:E41, PRICING_ANALYSIS!D5:D41, "Apps &amp; Streaming")</f>
        <v/>
      </c>
      <c r="D21" s="21">
        <f>AVERAGEIFS(PRICING_ANALYSIS!F5:F41, PRICING_ANALYSIS!D5:D41, "Apps &amp; Streaming")</f>
        <v/>
      </c>
      <c r="E21" s="21">
        <f>AVERAGEIFS(PRICING_ANALYSIS!G5:G41, PRICING_ANALYSIS!D5:D41, "Apps &amp; Streaming")</f>
        <v/>
      </c>
      <c r="F21" s="22">
        <f>E21/D21</f>
        <v/>
      </c>
      <c r="G21" s="21">
        <f>SUMIFS(PRICING_ANALYSIS!G5:G41, PRICING_ANALYSIS!D5:D41, "Apps &amp; Streaming")</f>
        <v/>
      </c>
    </row>
    <row r="22" ht="22" customHeight="1">
      <c r="A22" s="23" t="inlineStr">
        <is>
          <t>TOTAL / KESELURUHAN</t>
        </is>
      </c>
      <c r="B22" s="24">
        <f>SUM(B20:B21)</f>
        <v/>
      </c>
      <c r="C22" s="25">
        <f>AVERAGE(PRICING_ANALYSIS!E5:E41)</f>
        <v/>
      </c>
      <c r="D22" s="25">
        <f>AVERAGE(PRICING_ANALYSIS!F5:F41)</f>
        <v/>
      </c>
      <c r="E22" s="25">
        <f>AVERAGE(PRICING_ANALYSIS!G5:G41)</f>
        <v/>
      </c>
      <c r="F22" s="26">
        <f>E22/D22</f>
        <v/>
      </c>
      <c r="G22" s="25">
        <f>SUM(G20:G21)</f>
        <v/>
      </c>
    </row>
    <row r="23"/>
    <row r="24" ht="24" customHeight="1">
      <c r="A24" s="3" t="inlineStr">
        <is>
          <t>REKOMENDASI STRATEGIS &amp; KESIMPULAN BISNIS</t>
        </is>
      </c>
    </row>
    <row r="25" ht="28" customHeight="1">
      <c r="A25" s="27" t="inlineStr">
        <is>
          <t>1. Kepatuhan Batas Laba Minimum (Rp3.000): Sebanyak 32 dari 37 produk (86,5%) telah memenuhi standar minimum laba. 5 produk (Canva Edu 1Thn, Canva Pro Anggota 1Bln/2Bln, Canva Desainer, dan Capcut Shared) memiliki laba antara Rp2.500 - Rp2.700. Direkomendasikan penyesuaian harga jual naik Rp500 - Rp1.000 pada update berikutnya.</t>
        </is>
      </c>
    </row>
    <row r="26" ht="28" customHeight="1">
      <c r="A26" s="27" t="inlineStr">
        <is>
          <t>2. Kebijakan Khusus Gemini AI Pro: Seluruh varian Gemini Pro (7 item) memiliki margin sangat tebal (laba kotor Rp12.000 s/d Rp40.500) dan dipertahankan sebagai Anchor Product dengan harga manual tanpa formula otomatis.</t>
        </is>
      </c>
    </row>
    <row r="27" ht="28" customHeight="1">
      <c r="A27" s="27" t="inlineStr">
        <is>
          <t>3. Mitigasi Beban Diskon Promo: Promo 5% maks. Rp5.000 sepenuhnya aman bagi produk dengan harga jual di atas Rp30.000. Untuk produk receh (di bawah Rp10.000), beban diskon Rp500 menyerap sebagian laba CEO/COO; direkomendasikan pembatasan komisi Sales maksimal 10% untuk produk berharga di bawah Rp15.000.</t>
        </is>
      </c>
    </row>
    <row r="28" ht="28" customHeight="1">
      <c r="A28" s="27" t="inlineStr">
        <is>
          <t>4. Kesiapan Sistem Sales: Simulasi komisi 10% s/d 15% telah selesai dimodelkan pada sheet COMMISSION_ANALYSIS dan siap digunakan saat manajemen menetapkan rate resmi.</t>
        </is>
      </c>
    </row>
  </sheetData>
  <mergeCells count="6">
    <mergeCell ref="A1:G1"/>
    <mergeCell ref="A27:G27"/>
    <mergeCell ref="A26:G26"/>
    <mergeCell ref="A2:G2"/>
    <mergeCell ref="A25:G25"/>
    <mergeCell ref="A28:G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2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33" customWidth="1" min="2" max="2"/>
    <col width="29" customWidth="1" min="3" max="3"/>
    <col width="104" customWidth="1" min="4" max="4"/>
    <col width="18" customWidth="1" min="5" max="5"/>
    <col width="18" customWidth="1" min="6" max="6"/>
    <col width="23" customWidth="1" min="7" max="7"/>
    <col width="16" customWidth="1" min="8" max="8"/>
    <col width="14" customWidth="1" min="9" max="9"/>
    <col width="18" customWidth="1" min="10" max="10"/>
    <col width="20" customWidth="1" min="11" max="11"/>
    <col width="147" customWidth="1" min="12" max="12"/>
    <col width="10" customWidth="1" min="13" max="13"/>
    <col width="17" customWidth="1" min="14" max="14"/>
    <col width="18" customWidth="1" min="15" max="15"/>
    <col width="36" customWidth="1" min="16" max="16"/>
    <col width="18" customWidth="1" min="17" max="17"/>
  </cols>
  <sheetData>
    <row r="1" ht="28" customHeight="1">
      <c r="A1" s="1" t="inlineStr">
        <is>
          <t>ASTERRA STORE — MASTER KATALOG PRODUK AKTIF (RAW SOURCE)</t>
        </is>
      </c>
    </row>
    <row r="2" ht="18" customHeight="1">
      <c r="A2" s="2" t="inlineStr">
        <is>
          <t>Data Source: Database (Supabase PostgreSQL) &amp; VIP Reseller Sync | Status Toko: AKTIF | Total Produk: 37 | Exported: 02 October 2026</t>
        </is>
      </c>
    </row>
    <row r="3"/>
    <row r="4" ht="26" customHeight="1">
      <c r="A4" s="4" t="inlineStr">
        <is>
          <t>No</t>
        </is>
      </c>
      <c r="B4" s="4" t="inlineStr">
        <is>
          <t>Product ID</t>
        </is>
      </c>
      <c r="C4" s="4" t="inlineStr">
        <is>
          <t>SKU / Code</t>
        </is>
      </c>
      <c r="D4" s="4" t="inlineStr">
        <is>
          <t>Product Name</t>
        </is>
      </c>
      <c r="E4" s="4" t="inlineStr">
        <is>
          <t>Category</t>
        </is>
      </c>
      <c r="F4" s="4" t="inlineStr">
        <is>
          <t>Product Type</t>
        </is>
      </c>
      <c r="G4" s="4" t="inlineStr">
        <is>
          <t>Private/Sharing</t>
        </is>
      </c>
      <c r="H4" s="4" t="inlineStr">
        <is>
          <t>Display Status</t>
        </is>
      </c>
      <c r="I4" s="4" t="inlineStr">
        <is>
          <t>Availability</t>
        </is>
      </c>
      <c r="J4" s="4" t="inlineStr">
        <is>
          <t>Cost Price (Rp)</t>
        </is>
      </c>
      <c r="K4" s="4" t="inlineStr">
        <is>
          <t>Selling Price (Rp)</t>
        </is>
      </c>
      <c r="L4" s="4" t="inlineStr">
        <is>
          <t>Description</t>
        </is>
      </c>
      <c r="M4" s="4" t="inlineStr">
        <is>
          <t>Duration</t>
        </is>
      </c>
      <c r="N4" s="4" t="inlineStr">
        <is>
          <t>Guarantee</t>
        </is>
      </c>
      <c r="O4" s="4" t="inlineStr">
        <is>
          <t>Supplier</t>
        </is>
      </c>
      <c r="P4" s="4" t="inlineStr">
        <is>
          <t>Source</t>
        </is>
      </c>
      <c r="Q4" s="4" t="inlineStr">
        <is>
          <t>Retrieved At</t>
        </is>
      </c>
    </row>
    <row r="5" ht="20" customHeight="1">
      <c r="A5" s="9" t="n">
        <v>1</v>
      </c>
      <c r="B5" s="28" t="inlineStr">
        <is>
          <t>vip-chatgptgo1thngar1b-s1</t>
        </is>
      </c>
      <c r="C5" s="28" t="inlineStr">
        <is>
          <t>CHATGPTGO1THNGAR1B-S1</t>
        </is>
      </c>
      <c r="D5" s="12" t="inlineStr">
        <is>
          <t>ChatGPT GO Plan 1 Tahun [ Private Account ] [ Garansi 1 Bulan ]</t>
        </is>
      </c>
      <c r="E5" s="12" t="inlineStr">
        <is>
          <t>AI Tools</t>
        </is>
      </c>
      <c r="F5" s="12" t="inlineStr">
        <is>
          <t>AI Tools</t>
        </is>
      </c>
      <c r="G5" s="9" t="inlineStr">
        <is>
          <t>Private</t>
        </is>
      </c>
      <c r="H5" s="9" t="inlineStr">
        <is>
          <t>Aktif</t>
        </is>
      </c>
      <c r="I5" s="9" t="inlineStr">
        <is>
          <t>Kosong</t>
        </is>
      </c>
      <c r="J5" s="21" t="n">
        <v>20000</v>
      </c>
      <c r="K5" s="21" t="n">
        <v>23000</v>
      </c>
      <c r="L5" s="12" t="inlineStr">
        <is>
          <t>GO Plan 1 Tahun [ Private Account ] [ Garansi 1 Bulan ] - Layanan digital resmi terverifikasi dengan aktivasi instan.</t>
        </is>
      </c>
      <c r="M5" s="9" t="inlineStr">
        <is>
          <t>1 Tahun</t>
        </is>
      </c>
      <c r="N5" s="9" t="inlineStr">
        <is>
          <t>Garansi 1 Bulan</t>
        </is>
      </c>
      <c r="O5" s="12" t="inlineStr">
        <is>
          <t>VIP Reseller</t>
        </is>
      </c>
      <c r="P5" s="12" t="inlineStr">
        <is>
          <t>Database (Supabase) &amp; VIP Reseller</t>
        </is>
      </c>
      <c r="Q5" s="9" t="inlineStr">
        <is>
          <t>2026-10-02 21:15</t>
        </is>
      </c>
    </row>
    <row r="6" ht="20" customHeight="1">
      <c r="A6" s="5" t="n">
        <v>2</v>
      </c>
      <c r="B6" s="29" t="inlineStr">
        <is>
          <t>vip-chatgptgo1thngar6b-s1</t>
        </is>
      </c>
      <c r="C6" s="29" t="inlineStr">
        <is>
          <t>CHATGPTGO1THNGAR6B-S1</t>
        </is>
      </c>
      <c r="D6" s="8" t="inlineStr">
        <is>
          <t>ChatGPT GO Plan 1 Tahun [ Private Account ] [ Garansi 6 Bulan ]</t>
        </is>
      </c>
      <c r="E6" s="8" t="inlineStr">
        <is>
          <t>AI Tools</t>
        </is>
      </c>
      <c r="F6" s="8" t="inlineStr">
        <is>
          <t>AI Tools</t>
        </is>
      </c>
      <c r="G6" s="5" t="inlineStr">
        <is>
          <t>Private</t>
        </is>
      </c>
      <c r="H6" s="5" t="inlineStr">
        <is>
          <t>Aktif</t>
        </is>
      </c>
      <c r="I6" s="5" t="inlineStr">
        <is>
          <t>Kosong</t>
        </is>
      </c>
      <c r="J6" s="18" t="n">
        <v>30000</v>
      </c>
      <c r="K6" s="18" t="n">
        <v>33000</v>
      </c>
      <c r="L6" s="8" t="inlineStr">
        <is>
          <t>GO Plan 1 Tahun [ Private Account ] [ Garansi 6 Bulan ] - Layanan digital resmi terverifikasi dengan aktivasi instan.</t>
        </is>
      </c>
      <c r="M6" s="5" t="inlineStr">
        <is>
          <t>1 Tahun</t>
        </is>
      </c>
      <c r="N6" s="5" t="inlineStr">
        <is>
          <t>Garansi 6 Bulan</t>
        </is>
      </c>
      <c r="O6" s="8" t="inlineStr">
        <is>
          <t>VIP Reseller</t>
        </is>
      </c>
      <c r="P6" s="8" t="inlineStr">
        <is>
          <t>Database (Supabase) &amp; VIP Reseller</t>
        </is>
      </c>
      <c r="Q6" s="5" t="inlineStr">
        <is>
          <t>2026-10-02 21:15</t>
        </is>
      </c>
    </row>
    <row r="7" ht="20" customHeight="1">
      <c r="A7" s="9" t="n">
        <v>3</v>
      </c>
      <c r="B7" s="28" t="inlineStr">
        <is>
          <t>vip-geminiproinvt1thngar1bln-s2</t>
        </is>
      </c>
      <c r="C7" s="28" t="inlineStr">
        <is>
          <t>GEMINIPROINVT1THNGAR1BLN-S2</t>
        </is>
      </c>
      <c r="D7" s="12" t="inlineStr">
        <is>
          <t>Google Gemini AI - Gemini AI Pro 1 Tahun [ Anggota ] [ Garansi 1 Bulan ] [ 5 TB GDRIVE ]</t>
        </is>
      </c>
      <c r="E7" s="12" t="inlineStr">
        <is>
          <t>AI Tools</t>
        </is>
      </c>
      <c r="F7" s="12" t="inlineStr">
        <is>
          <t>AI Tools</t>
        </is>
      </c>
      <c r="G7" s="9" t="inlineStr">
        <is>
          <t>Sharing (Invite)</t>
        </is>
      </c>
      <c r="H7" s="9" t="inlineStr">
        <is>
          <t>Aktif</t>
        </is>
      </c>
      <c r="I7" s="9" t="inlineStr">
        <is>
          <t>Tersedia</t>
        </is>
      </c>
      <c r="J7" s="21" t="n">
        <v>13000</v>
      </c>
      <c r="K7" s="21" t="n">
        <v>25000</v>
      </c>
      <c r="L7" s="12" t="inlineStr">
        <is>
          <t>Gemini AI Pro 1 Tahun [ Anggota ] [ Garansi 1 Bulan ] [ 5 TB GDRIVE ] - Layanan digital resmi terverifikasi dengan aktivasi instan.</t>
        </is>
      </c>
      <c r="M7" s="9" t="inlineStr">
        <is>
          <t>1 Tahun</t>
        </is>
      </c>
      <c r="N7" s="9" t="inlineStr">
        <is>
          <t>Garansi 1 Bulan</t>
        </is>
      </c>
      <c r="O7" s="12" t="inlineStr">
        <is>
          <t>VIP Reseller</t>
        </is>
      </c>
      <c r="P7" s="12" t="inlineStr">
        <is>
          <t>Database (Supabase) &amp; VIP Reseller</t>
        </is>
      </c>
      <c r="Q7" s="9" t="inlineStr">
        <is>
          <t>2026-10-02 21:15</t>
        </is>
      </c>
    </row>
    <row r="8" ht="20" customHeight="1">
      <c r="A8" s="5" t="n">
        <v>4</v>
      </c>
      <c r="B8" s="29" t="inlineStr">
        <is>
          <t>vip-geminiproinvt1thngar3bln-s2</t>
        </is>
      </c>
      <c r="C8" s="29" t="inlineStr">
        <is>
          <t>GEMINIPROINVT1THNGAR3BLN-S2</t>
        </is>
      </c>
      <c r="D8" s="8" t="inlineStr">
        <is>
          <t>Google Gemini AI - Gemini AI Pro 1 Tahun [ Anggota ] [ Garansi 3 Bulan ] [ 5 TB GDRIVE ]</t>
        </is>
      </c>
      <c r="E8" s="8" t="inlineStr">
        <is>
          <t>AI Tools</t>
        </is>
      </c>
      <c r="F8" s="8" t="inlineStr">
        <is>
          <t>AI Tools</t>
        </is>
      </c>
      <c r="G8" s="5" t="inlineStr">
        <is>
          <t>Sharing (Invite)</t>
        </is>
      </c>
      <c r="H8" s="5" t="inlineStr">
        <is>
          <t>Aktif</t>
        </is>
      </c>
      <c r="I8" s="5" t="inlineStr">
        <is>
          <t>Tersedia</t>
        </is>
      </c>
      <c r="J8" s="18" t="n">
        <v>18000</v>
      </c>
      <c r="K8" s="18" t="n">
        <v>21000</v>
      </c>
      <c r="L8" s="8" t="inlineStr">
        <is>
          <t>Gemini AI Pro 1 Tahun [ Anggota ] [ Garansi 3 Bulan ] [ 5 TB GDRIVE ] - Layanan digital resmi terverifikasi dengan aktivasi instan.</t>
        </is>
      </c>
      <c r="M8" s="5" t="inlineStr">
        <is>
          <t>1 Tahun</t>
        </is>
      </c>
      <c r="N8" s="5" t="inlineStr">
        <is>
          <t>Garansi 3 Bulan</t>
        </is>
      </c>
      <c r="O8" s="8" t="inlineStr">
        <is>
          <t>VIP Reseller</t>
        </is>
      </c>
      <c r="P8" s="8" t="inlineStr">
        <is>
          <t>Database (Supabase) &amp; VIP Reseller</t>
        </is>
      </c>
      <c r="Q8" s="5" t="inlineStr">
        <is>
          <t>2026-10-02 21:15</t>
        </is>
      </c>
    </row>
    <row r="9" ht="20" customHeight="1">
      <c r="A9" s="9" t="n">
        <v>5</v>
      </c>
      <c r="B9" s="28" t="inlineStr">
        <is>
          <t>vip-geminiproinvt1thngar6bln-s2</t>
        </is>
      </c>
      <c r="C9" s="28" t="inlineStr">
        <is>
          <t>GEMINIPROINVT1THNGAR6BLN-S2</t>
        </is>
      </c>
      <c r="D9" s="12" t="inlineStr">
        <is>
          <t>Google Gemini AI - Gemini AI Pro 1 Tahun [ Anggota ] [ Garansi 6 Bulan ] [ 5 TB GDRIVE ]</t>
        </is>
      </c>
      <c r="E9" s="12" t="inlineStr">
        <is>
          <t>AI Tools</t>
        </is>
      </c>
      <c r="F9" s="12" t="inlineStr">
        <is>
          <t>AI Tools</t>
        </is>
      </c>
      <c r="G9" s="9" t="inlineStr">
        <is>
          <t>Sharing (Invite)</t>
        </is>
      </c>
      <c r="H9" s="9" t="inlineStr">
        <is>
          <t>Aktif</t>
        </is>
      </c>
      <c r="I9" s="9" t="inlineStr">
        <is>
          <t>Tersedia</t>
        </is>
      </c>
      <c r="J9" s="21" t="n">
        <v>28000</v>
      </c>
      <c r="K9" s="21" t="n">
        <v>31000</v>
      </c>
      <c r="L9" s="12" t="inlineStr">
        <is>
          <t>Gemini AI Pro 1 Tahun [ Anggota ] [ Garansi 6 Bulan ] [ 5 TB GDRIVE ] - Layanan digital resmi terverifikasi dengan aktivasi instan.</t>
        </is>
      </c>
      <c r="M9" s="9" t="inlineStr">
        <is>
          <t>1 Tahun</t>
        </is>
      </c>
      <c r="N9" s="9" t="inlineStr">
        <is>
          <t>Garansi 6 Bulan</t>
        </is>
      </c>
      <c r="O9" s="12" t="inlineStr">
        <is>
          <t>VIP Reseller</t>
        </is>
      </c>
      <c r="P9" s="12" t="inlineStr">
        <is>
          <t>Database (Supabase) &amp; VIP Reseller</t>
        </is>
      </c>
      <c r="Q9" s="9" t="inlineStr">
        <is>
          <t>2026-10-02 21:15</t>
        </is>
      </c>
    </row>
    <row r="10" ht="20" customHeight="1">
      <c r="A10" s="5" t="n">
        <v>6</v>
      </c>
      <c r="B10" s="29" t="inlineStr">
        <is>
          <t>vip-geminiprohead1thngar1bln-s2</t>
        </is>
      </c>
      <c r="C10" s="29" t="inlineStr">
        <is>
          <t>GEMINIPROHEAD1THNGAR1BLN-S2</t>
        </is>
      </c>
      <c r="D10" s="8" t="inlineStr">
        <is>
          <t>Google Gemini AI - Gemini AI Pro 1 Tahun [ Head Invite 5 Anggota ] [ Garansi 1 Bulan ] [ 5 TB GDRIVE ]</t>
        </is>
      </c>
      <c r="E10" s="8" t="inlineStr">
        <is>
          <t>AI Tools</t>
        </is>
      </c>
      <c r="F10" s="8" t="inlineStr">
        <is>
          <t>AI Tools</t>
        </is>
      </c>
      <c r="G10" s="5" t="inlineStr">
        <is>
          <t>Private (Family Head)</t>
        </is>
      </c>
      <c r="H10" s="5" t="inlineStr">
        <is>
          <t>Aktif</t>
        </is>
      </c>
      <c r="I10" s="5" t="inlineStr">
        <is>
          <t>Tersedia</t>
        </is>
      </c>
      <c r="J10" s="18" t="n">
        <v>45000</v>
      </c>
      <c r="K10" s="18" t="n">
        <v>49000</v>
      </c>
      <c r="L10" s="8" t="inlineStr">
        <is>
          <t>Gemini AI Pro 1 Tahun [ Head Invite 5 Anggota ] [ Garansi 1 Bulan ] [ 5 TB GDRIVE ] - Layanan digital resmi terverifikasi dengan aktivasi instan.</t>
        </is>
      </c>
      <c r="M10" s="5" t="inlineStr">
        <is>
          <t>1 Tahun</t>
        </is>
      </c>
      <c r="N10" s="5" t="inlineStr">
        <is>
          <t>Garansi 1 Bulan</t>
        </is>
      </c>
      <c r="O10" s="8" t="inlineStr">
        <is>
          <t>VIP Reseller</t>
        </is>
      </c>
      <c r="P10" s="8" t="inlineStr">
        <is>
          <t>Database (Supabase) &amp; VIP Reseller</t>
        </is>
      </c>
      <c r="Q10" s="5" t="inlineStr">
        <is>
          <t>2026-10-02 21:15</t>
        </is>
      </c>
    </row>
    <row r="11" ht="20" customHeight="1">
      <c r="A11" s="9" t="n">
        <v>7</v>
      </c>
      <c r="B11" s="28" t="inlineStr">
        <is>
          <t>vip-geminiprohead1thngar3bln-s2</t>
        </is>
      </c>
      <c r="C11" s="28" t="inlineStr">
        <is>
          <t>GEMINIPROHEAD1THNGAR3BLN-S2</t>
        </is>
      </c>
      <c r="D11" s="12" t="inlineStr">
        <is>
          <t>Google Gemini AI - Gemini AI Pro 1 Tahun [ Head Invite 5 Anggota ] [ Garansi 3 Bulan ] [ 5 TB GDRIVE ]</t>
        </is>
      </c>
      <c r="E11" s="12" t="inlineStr">
        <is>
          <t>AI Tools</t>
        </is>
      </c>
      <c r="F11" s="12" t="inlineStr">
        <is>
          <t>AI Tools</t>
        </is>
      </c>
      <c r="G11" s="9" t="inlineStr">
        <is>
          <t>Private (Family Head)</t>
        </is>
      </c>
      <c r="H11" s="9" t="inlineStr">
        <is>
          <t>Aktif</t>
        </is>
      </c>
      <c r="I11" s="9" t="inlineStr">
        <is>
          <t>Tersedia</t>
        </is>
      </c>
      <c r="J11" s="21" t="n">
        <v>60000</v>
      </c>
      <c r="K11" s="21" t="n">
        <v>65000</v>
      </c>
      <c r="L11" s="12" t="inlineStr">
        <is>
          <t>Gemini AI Pro 1 Tahun [ Head Invite 5 Anggota ] [ Garansi 3 Bulan ] [ 5 TB GDRIVE ] - Layanan digital resmi terverifikasi dengan aktivasi instan.</t>
        </is>
      </c>
      <c r="M11" s="9" t="inlineStr">
        <is>
          <t>1 Tahun</t>
        </is>
      </c>
      <c r="N11" s="9" t="inlineStr">
        <is>
          <t>Garansi 3 Bulan</t>
        </is>
      </c>
      <c r="O11" s="12" t="inlineStr">
        <is>
          <t>VIP Reseller</t>
        </is>
      </c>
      <c r="P11" s="12" t="inlineStr">
        <is>
          <t>Database (Supabase) &amp; VIP Reseller</t>
        </is>
      </c>
      <c r="Q11" s="9" t="inlineStr">
        <is>
          <t>2026-10-02 21:15</t>
        </is>
      </c>
    </row>
    <row r="12" ht="20" customHeight="1">
      <c r="A12" s="5" t="n">
        <v>8</v>
      </c>
      <c r="B12" s="29" t="inlineStr">
        <is>
          <t>vip-geminiprohead1thngar6bln-s2</t>
        </is>
      </c>
      <c r="C12" s="29" t="inlineStr">
        <is>
          <t>GEMINIPROHEAD1THNGAR6BLN-S2</t>
        </is>
      </c>
      <c r="D12" s="8" t="inlineStr">
        <is>
          <t>Google Gemini AI - Gemini AI Pro 1 Tahun [ PRIVATE ] [ Garansi 6 Bulan ] [ 5 TB GDRIVE ]</t>
        </is>
      </c>
      <c r="E12" s="8" t="inlineStr">
        <is>
          <t>AI Tools</t>
        </is>
      </c>
      <c r="F12" s="8" t="inlineStr">
        <is>
          <t>AI Tools</t>
        </is>
      </c>
      <c r="G12" s="5" t="inlineStr">
        <is>
          <t>Private</t>
        </is>
      </c>
      <c r="H12" s="5" t="inlineStr">
        <is>
          <t>Aktif</t>
        </is>
      </c>
      <c r="I12" s="5" t="inlineStr">
        <is>
          <t>Tersedia</t>
        </is>
      </c>
      <c r="J12" s="18" t="n">
        <v>100000</v>
      </c>
      <c r="K12" s="18" t="n">
        <v>108000</v>
      </c>
      <c r="L12" s="8" t="inlineStr">
        <is>
          <t>Gemini AI Pro 1 Tahun [ Head Invite 5 Anggota ] [ Garansi 6 Bulan ] [ 5 TB GDRIVE ] - Layanan digital resmi terverifikasi dengan aktivasi instan.</t>
        </is>
      </c>
      <c r="M12" s="5" t="inlineStr">
        <is>
          <t>1 Tahun</t>
        </is>
      </c>
      <c r="N12" s="5" t="inlineStr">
        <is>
          <t>Garansi 6 Bulan</t>
        </is>
      </c>
      <c r="O12" s="8" t="inlineStr">
        <is>
          <t>VIP Reseller</t>
        </is>
      </c>
      <c r="P12" s="8" t="inlineStr">
        <is>
          <t>Database (Supabase) &amp; VIP Reseller</t>
        </is>
      </c>
      <c r="Q12" s="5" t="inlineStr">
        <is>
          <t>2026-10-02 21:15</t>
        </is>
      </c>
    </row>
    <row r="13" ht="20" customHeight="1">
      <c r="A13" s="9" t="n">
        <v>9</v>
      </c>
      <c r="B13" s="28" t="inlineStr">
        <is>
          <t>prod-muniiqze-jyh0</t>
        </is>
      </c>
      <c r="C13" s="28" t="inlineStr">
        <is>
          <t>prod-muniiqze-jyh0</t>
        </is>
      </c>
      <c r="D13" s="12" t="inlineStr">
        <is>
          <t>Google AI Pro [18 Bulan] [PRIVATE] [Garansi 1 Bulan]</t>
        </is>
      </c>
      <c r="E13" s="12" t="inlineStr">
        <is>
          <t>AI Tools</t>
        </is>
      </c>
      <c r="F13" s="12" t="inlineStr">
        <is>
          <t>AI Tools</t>
        </is>
      </c>
      <c r="G13" s="9" t="inlineStr">
        <is>
          <t>Private</t>
        </is>
      </c>
      <c r="H13" s="9" t="inlineStr">
        <is>
          <t>Aktif</t>
        </is>
      </c>
      <c r="I13" s="9" t="inlineStr">
        <is>
          <t>Tersedia</t>
        </is>
      </c>
      <c r="J13" s="21" t="n">
        <v>9500</v>
      </c>
      <c r="K13" s="21" t="n">
        <v>50000</v>
      </c>
      <c r="L13" s="12" t="inlineStr">
        <is>
          <t>Layanan resmi Google AI Pro [18 Bulan] [PRIVATE] [Garansi 1 Bulan] dengan garansi penuh dan aktivasi instan.</t>
        </is>
      </c>
      <c r="M13" s="9" t="inlineStr">
        <is>
          <t>18 Bulan</t>
        </is>
      </c>
      <c r="N13" s="9" t="inlineStr">
        <is>
          <t>Garansi 1 Bulan</t>
        </is>
      </c>
      <c r="O13" s="12" t="inlineStr">
        <is>
          <t>Asterra Internal</t>
        </is>
      </c>
      <c r="P13" s="12" t="inlineStr">
        <is>
          <t>Database (Supabase) Native</t>
        </is>
      </c>
      <c r="Q13" s="9" t="inlineStr">
        <is>
          <t>2026-10-02 21:15</t>
        </is>
      </c>
    </row>
    <row r="14" ht="20" customHeight="1">
      <c r="A14" s="5" t="n">
        <v>10</v>
      </c>
      <c r="B14" s="29" t="inlineStr">
        <is>
          <t>vip-alightmotionpriv1thn-s1</t>
        </is>
      </c>
      <c r="C14" s="29" t="inlineStr">
        <is>
          <t>ALIGHTMOTIONPRIV1THN-S1</t>
        </is>
      </c>
      <c r="D14" s="8" t="inlineStr">
        <is>
          <t>Alightmotion || Private Akun 1 Tahun [ Garansi 3 Bulan ]</t>
        </is>
      </c>
      <c r="E14" s="8" t="inlineStr">
        <is>
          <t>Apps &amp; Streaming</t>
        </is>
      </c>
      <c r="F14" s="8" t="inlineStr">
        <is>
          <t>Apps &amp; Streaming</t>
        </is>
      </c>
      <c r="G14" s="5" t="inlineStr">
        <is>
          <t>Private</t>
        </is>
      </c>
      <c r="H14" s="5" t="inlineStr">
        <is>
          <t>Aktif</t>
        </is>
      </c>
      <c r="I14" s="5" t="inlineStr">
        <is>
          <t>Tersedia</t>
        </is>
      </c>
      <c r="J14" s="18" t="n">
        <v>5000</v>
      </c>
      <c r="K14" s="18" t="n">
        <v>8000</v>
      </c>
      <c r="L14" s="8" t="inlineStr">
        <is>
          <t>Private Akun 1 Tahun [ Garansi 3 Bulan ] - Layanan digital resmi terverifikasi dengan aktivasi instan.</t>
        </is>
      </c>
      <c r="M14" s="5" t="inlineStr">
        <is>
          <t>1 Tahun</t>
        </is>
      </c>
      <c r="N14" s="5" t="inlineStr">
        <is>
          <t>Garansi 3 Bulan</t>
        </is>
      </c>
      <c r="O14" s="8" t="inlineStr">
        <is>
          <t>VIP Reseller</t>
        </is>
      </c>
      <c r="P14" s="8" t="inlineStr">
        <is>
          <t>Database (Supabase) &amp; VIP Reseller</t>
        </is>
      </c>
      <c r="Q14" s="5" t="inlineStr">
        <is>
          <t>2026-10-02 21:15</t>
        </is>
      </c>
    </row>
    <row r="15" ht="20" customHeight="1">
      <c r="A15" s="9" t="n">
        <v>11</v>
      </c>
      <c r="B15" s="28" t="inlineStr">
        <is>
          <t>vip-bspremshrd1bln-s1</t>
        </is>
      </c>
      <c r="C15" s="28" t="inlineStr">
        <is>
          <t>BSPREMSHRD1BLN-S1</t>
        </is>
      </c>
      <c r="D15" s="12" t="inlineStr">
        <is>
          <t>BsTation Premium 1 Bulan [ AKUN - SHARED - 1 DEVICES ]</t>
        </is>
      </c>
      <c r="E15" s="12" t="inlineStr">
        <is>
          <t>Apps &amp; Streaming</t>
        </is>
      </c>
      <c r="F15" s="12" t="inlineStr">
        <is>
          <t>Apps &amp; Streaming</t>
        </is>
      </c>
      <c r="G15" s="9" t="inlineStr">
        <is>
          <t>Sharing</t>
        </is>
      </c>
      <c r="H15" s="9" t="inlineStr">
        <is>
          <t>Aktif</t>
        </is>
      </c>
      <c r="I15" s="9" t="inlineStr">
        <is>
          <t>Tersedia</t>
        </is>
      </c>
      <c r="J15" s="21" t="n">
        <v>4000</v>
      </c>
      <c r="K15" s="21" t="n">
        <v>7000</v>
      </c>
      <c r="L15" s="12" t="inlineStr">
        <is>
          <t>BsTation Premium 1 Bulan [ AKUN - SHARED - 1 DEVICES ] - Layanan digital resmi terverifikasi dengan aktivasi instan.</t>
        </is>
      </c>
      <c r="M15" s="9" t="inlineStr">
        <is>
          <t>1 Bulan</t>
        </is>
      </c>
      <c r="N15" s="9" t="inlineStr"/>
      <c r="O15" s="12" t="inlineStr">
        <is>
          <t>VIP Reseller</t>
        </is>
      </c>
      <c r="P15" s="12" t="inlineStr">
        <is>
          <t>Database (Supabase) &amp; VIP Reseller</t>
        </is>
      </c>
      <c r="Q15" s="9" t="inlineStr">
        <is>
          <t>2026-10-02 21:15</t>
        </is>
      </c>
    </row>
    <row r="16" ht="20" customHeight="1">
      <c r="A16" s="5" t="n">
        <v>12</v>
      </c>
      <c r="B16" s="29" t="inlineStr">
        <is>
          <t>vip-bspremshrd1thn-s1</t>
        </is>
      </c>
      <c r="C16" s="29" t="inlineStr">
        <is>
          <t>BSPREMSHRD1THN-S1</t>
        </is>
      </c>
      <c r="D16" s="8" t="inlineStr">
        <is>
          <t>BsTation Premium 1 Tahun [ AKUN - SHARED - 1 DEVICES ]</t>
        </is>
      </c>
      <c r="E16" s="8" t="inlineStr">
        <is>
          <t>Apps &amp; Streaming</t>
        </is>
      </c>
      <c r="F16" s="8" t="inlineStr">
        <is>
          <t>Apps &amp; Streaming</t>
        </is>
      </c>
      <c r="G16" s="5" t="inlineStr">
        <is>
          <t>Sharing</t>
        </is>
      </c>
      <c r="H16" s="5" t="inlineStr">
        <is>
          <t>Aktif</t>
        </is>
      </c>
      <c r="I16" s="5" t="inlineStr">
        <is>
          <t>Tersedia</t>
        </is>
      </c>
      <c r="J16" s="18" t="n">
        <v>20000</v>
      </c>
      <c r="K16" s="18" t="n">
        <v>29000</v>
      </c>
      <c r="L16" s="8" t="inlineStr">
        <is>
          <t>BsTation Premium 1 Tahun [ AKUN - SHARED - 1 DEVICES ] - Layanan digital resmi terverifikasi dengan aktivasi instan.</t>
        </is>
      </c>
      <c r="M16" s="5" t="inlineStr">
        <is>
          <t>1 Tahun</t>
        </is>
      </c>
      <c r="N16" s="5" t="inlineStr"/>
      <c r="O16" s="8" t="inlineStr">
        <is>
          <t>VIP Reseller</t>
        </is>
      </c>
      <c r="P16" s="8" t="inlineStr">
        <is>
          <t>Database (Supabase) &amp; VIP Reseller</t>
        </is>
      </c>
      <c r="Q16" s="5" t="inlineStr">
        <is>
          <t>2026-10-02 21:15</t>
        </is>
      </c>
    </row>
    <row r="17" ht="20" customHeight="1">
      <c r="A17" s="9" t="n">
        <v>13</v>
      </c>
      <c r="B17" s="28" t="inlineStr">
        <is>
          <t>vip-bspremshrd3bln-s1</t>
        </is>
      </c>
      <c r="C17" s="28" t="inlineStr">
        <is>
          <t>BSPREMSHRD3BLN-S1</t>
        </is>
      </c>
      <c r="D17" s="12" t="inlineStr">
        <is>
          <t>BsTation Premium 3 Bulan [ AKUN - SHARED - 1 DEVICES ]</t>
        </is>
      </c>
      <c r="E17" s="12" t="inlineStr">
        <is>
          <t>Apps &amp; Streaming</t>
        </is>
      </c>
      <c r="F17" s="12" t="inlineStr">
        <is>
          <t>Apps &amp; Streaming</t>
        </is>
      </c>
      <c r="G17" s="9" t="inlineStr">
        <is>
          <t>Sharing</t>
        </is>
      </c>
      <c r="H17" s="9" t="inlineStr">
        <is>
          <t>Aktif</t>
        </is>
      </c>
      <c r="I17" s="9" t="inlineStr">
        <is>
          <t>Tersedia</t>
        </is>
      </c>
      <c r="J17" s="21" t="n">
        <v>10500</v>
      </c>
      <c r="K17" s="21" t="n">
        <v>14000</v>
      </c>
      <c r="L17" s="12" t="inlineStr">
        <is>
          <t>BsTation Premium 3 Bulan [ AKUN - SHARED - 1 DEVICES ] - Layanan digital resmi terverifikasi dengan aktivasi instan.</t>
        </is>
      </c>
      <c r="M17" s="9" t="inlineStr">
        <is>
          <t>3 Bulan</t>
        </is>
      </c>
      <c r="N17" s="9" t="inlineStr"/>
      <c r="O17" s="12" t="inlineStr">
        <is>
          <t>VIP Reseller</t>
        </is>
      </c>
      <c r="P17" s="12" t="inlineStr">
        <is>
          <t>Database (Supabase) &amp; VIP Reseller</t>
        </is>
      </c>
      <c r="Q17" s="9" t="inlineStr">
        <is>
          <t>2026-10-02 21:15</t>
        </is>
      </c>
    </row>
    <row r="18" ht="20" customHeight="1">
      <c r="A18" s="5" t="n">
        <v>14</v>
      </c>
      <c r="B18" s="29" t="inlineStr">
        <is>
          <t>vip-canvaedu1thn-s1</t>
        </is>
      </c>
      <c r="C18" s="29" t="inlineStr">
        <is>
          <t>CANVAEDU1THN-S1</t>
        </is>
      </c>
      <c r="D18" s="8" t="inlineStr">
        <is>
          <t>Canva Education [ 1 Tahun ] [ Garansi 6 Bulan ]</t>
        </is>
      </c>
      <c r="E18" s="8" t="inlineStr">
        <is>
          <t>Apps &amp; Streaming</t>
        </is>
      </c>
      <c r="F18" s="8" t="inlineStr">
        <is>
          <t>Apps &amp; Streaming</t>
        </is>
      </c>
      <c r="G18" s="5" t="inlineStr">
        <is>
          <t>Sharing (Edu)</t>
        </is>
      </c>
      <c r="H18" s="5" t="inlineStr">
        <is>
          <t>Aktif</t>
        </is>
      </c>
      <c r="I18" s="5" t="inlineStr">
        <is>
          <t>Tersedia</t>
        </is>
      </c>
      <c r="J18" s="18" t="n">
        <v>11500</v>
      </c>
      <c r="K18" s="18" t="n">
        <v>14000</v>
      </c>
      <c r="L18" s="8" t="inlineStr">
        <is>
          <t>Canva Education [ 1 Tahun ] [ Garansi 6 Bulan ] - Layanan digital resmi terverifikasi dengan aktivasi instan.</t>
        </is>
      </c>
      <c r="M18" s="5" t="inlineStr">
        <is>
          <t>1 Tahun</t>
        </is>
      </c>
      <c r="N18" s="5" t="inlineStr">
        <is>
          <t>Garansi 6 Bulan</t>
        </is>
      </c>
      <c r="O18" s="8" t="inlineStr">
        <is>
          <t>VIP Reseller</t>
        </is>
      </c>
      <c r="P18" s="8" t="inlineStr">
        <is>
          <t>Database (Supabase) &amp; VIP Reseller</t>
        </is>
      </c>
      <c r="Q18" s="5" t="inlineStr">
        <is>
          <t>2026-10-02 21:15</t>
        </is>
      </c>
    </row>
    <row r="19" ht="20" customHeight="1">
      <c r="A19" s="9" t="n">
        <v>15</v>
      </c>
      <c r="B19" s="28" t="inlineStr">
        <is>
          <t>vip-canva1bln-s1</t>
        </is>
      </c>
      <c r="C19" s="28" t="inlineStr">
        <is>
          <t>CANVA1BLN-S1</t>
        </is>
      </c>
      <c r="D19" s="12" t="inlineStr">
        <is>
          <t>Canvaa Pro [ 1 Bulan ]</t>
        </is>
      </c>
      <c r="E19" s="12" t="inlineStr">
        <is>
          <t>Apps &amp; Streaming</t>
        </is>
      </c>
      <c r="F19" s="12" t="inlineStr">
        <is>
          <t>Apps &amp; Streaming</t>
        </is>
      </c>
      <c r="G19" s="9" t="inlineStr">
        <is>
          <t>Private</t>
        </is>
      </c>
      <c r="H19" s="9" t="inlineStr">
        <is>
          <t>Aktif</t>
        </is>
      </c>
      <c r="I19" s="9" t="inlineStr">
        <is>
          <t>Kosong</t>
        </is>
      </c>
      <c r="J19" s="21" t="n">
        <v>5000</v>
      </c>
      <c r="K19" s="21" t="n">
        <v>12000</v>
      </c>
      <c r="L19" s="12" t="inlineStr">
        <is>
          <t>Canvaa Pro [ 1 Bulan ] - Layanan digital resmi terverifikasi dengan aktivasi instan.</t>
        </is>
      </c>
      <c r="M19" s="9" t="inlineStr">
        <is>
          <t>1 Bulan</t>
        </is>
      </c>
      <c r="N19" s="9" t="inlineStr"/>
      <c r="O19" s="12" t="inlineStr">
        <is>
          <t>VIP Reseller</t>
        </is>
      </c>
      <c r="P19" s="12" t="inlineStr">
        <is>
          <t>Database (Supabase) &amp; VIP Reseller</t>
        </is>
      </c>
      <c r="Q19" s="9" t="inlineStr">
        <is>
          <t>2026-10-02 21:15</t>
        </is>
      </c>
    </row>
    <row r="20" ht="20" customHeight="1">
      <c r="A20" s="5" t="n">
        <v>16</v>
      </c>
      <c r="B20" s="29" t="inlineStr">
        <is>
          <t>vip-canvaanggota1bln-s1</t>
        </is>
      </c>
      <c r="C20" s="29" t="inlineStr">
        <is>
          <t>CANVAANGGOTA1BLN-S1</t>
        </is>
      </c>
      <c r="D20" s="8" t="inlineStr">
        <is>
          <t>Canvaa Pro Anggota [ 1 Bulan ] [ Garansi 1 Bulan ]</t>
        </is>
      </c>
      <c r="E20" s="8" t="inlineStr">
        <is>
          <t>Apps &amp; Streaming</t>
        </is>
      </c>
      <c r="F20" s="8" t="inlineStr">
        <is>
          <t>Apps &amp; Streaming</t>
        </is>
      </c>
      <c r="G20" s="5" t="inlineStr">
        <is>
          <t>Sharing (Invite)</t>
        </is>
      </c>
      <c r="H20" s="5" t="inlineStr">
        <is>
          <t>Aktif</t>
        </is>
      </c>
      <c r="I20" s="5" t="inlineStr">
        <is>
          <t>Tersedia</t>
        </is>
      </c>
      <c r="J20" s="18" t="n">
        <v>1300</v>
      </c>
      <c r="K20" s="18" t="n">
        <v>4000</v>
      </c>
      <c r="L20" s="8" t="inlineStr">
        <is>
          <t>Canvaa Pro Anggota [ 1 Bulan ] [ Garansi 1 Bulan ] - Layanan digital resmi terverifikasi dengan aktivasi instan.</t>
        </is>
      </c>
      <c r="M20" s="5" t="inlineStr">
        <is>
          <t>1 Bulan</t>
        </is>
      </c>
      <c r="N20" s="5" t="inlineStr">
        <is>
          <t>Garansi 1 Bulan</t>
        </is>
      </c>
      <c r="O20" s="8" t="inlineStr">
        <is>
          <t>VIP Reseller</t>
        </is>
      </c>
      <c r="P20" s="8" t="inlineStr">
        <is>
          <t>Database (Supabase) &amp; VIP Reseller</t>
        </is>
      </c>
      <c r="Q20" s="5" t="inlineStr">
        <is>
          <t>2026-10-02 21:15</t>
        </is>
      </c>
    </row>
    <row r="21" ht="20" customHeight="1">
      <c r="A21" s="9" t="n">
        <v>17</v>
      </c>
      <c r="B21" s="28" t="inlineStr">
        <is>
          <t>vip-canvaanggota2bln-s1</t>
        </is>
      </c>
      <c r="C21" s="28" t="inlineStr">
        <is>
          <t>CANVAANGGOTA2BLN-S1</t>
        </is>
      </c>
      <c r="D21" s="12" t="inlineStr">
        <is>
          <t>Canvaa Pro Anggota [ 2 Bulan ] [ Garansi 2 Bulan ]</t>
        </is>
      </c>
      <c r="E21" s="12" t="inlineStr">
        <is>
          <t>Apps &amp; Streaming</t>
        </is>
      </c>
      <c r="F21" s="12" t="inlineStr">
        <is>
          <t>Apps &amp; Streaming</t>
        </is>
      </c>
      <c r="G21" s="9" t="inlineStr">
        <is>
          <t>Sharing (Invite)</t>
        </is>
      </c>
      <c r="H21" s="9" t="inlineStr">
        <is>
          <t>Aktif</t>
        </is>
      </c>
      <c r="I21" s="9" t="inlineStr">
        <is>
          <t>Tersedia</t>
        </is>
      </c>
      <c r="J21" s="21" t="n">
        <v>2500</v>
      </c>
      <c r="K21" s="21" t="n">
        <v>5000</v>
      </c>
      <c r="L21" s="12" t="inlineStr">
        <is>
          <t>Canvaa Pro Anggota [ 2 Bulan ] [ Garansi 2 Bulan ] - Layanan digital resmi terverifikasi dengan aktivasi instan.</t>
        </is>
      </c>
      <c r="M21" s="9" t="inlineStr">
        <is>
          <t>2 Bulan</t>
        </is>
      </c>
      <c r="N21" s="9" t="inlineStr">
        <is>
          <t>Garansi 2 Bulan</t>
        </is>
      </c>
      <c r="O21" s="12" t="inlineStr">
        <is>
          <t>VIP Reseller</t>
        </is>
      </c>
      <c r="P21" s="12" t="inlineStr">
        <is>
          <t>Database (Supabase) &amp; VIP Reseller</t>
        </is>
      </c>
      <c r="Q21" s="9" t="inlineStr">
        <is>
          <t>2026-10-02 21:15</t>
        </is>
      </c>
    </row>
    <row r="22" ht="20" customHeight="1">
      <c r="A22" s="5" t="n">
        <v>18</v>
      </c>
      <c r="B22" s="29" t="inlineStr">
        <is>
          <t>vip-canvadesainer1bln-s1</t>
        </is>
      </c>
      <c r="C22" s="29" t="inlineStr">
        <is>
          <t>CANVADESAINER1BLN-S1</t>
        </is>
      </c>
      <c r="D22" s="8" t="inlineStr">
        <is>
          <t>Canvaa Pro Desainer [ 1 Bulan ] [ Garansi 1 Bulan ]</t>
        </is>
      </c>
      <c r="E22" s="8" t="inlineStr">
        <is>
          <t>Apps &amp; Streaming</t>
        </is>
      </c>
      <c r="F22" s="8" t="inlineStr">
        <is>
          <t>Apps &amp; Streaming</t>
        </is>
      </c>
      <c r="G22" s="5" t="inlineStr">
        <is>
          <t>Private (Desainer)</t>
        </is>
      </c>
      <c r="H22" s="5" t="inlineStr">
        <is>
          <t>Aktif</t>
        </is>
      </c>
      <c r="I22" s="5" t="inlineStr">
        <is>
          <t>Tersedia</t>
        </is>
      </c>
      <c r="J22" s="18" t="n">
        <v>2300</v>
      </c>
      <c r="K22" s="18" t="n">
        <v>5000</v>
      </c>
      <c r="L22" s="8" t="inlineStr">
        <is>
          <t>Canvaa Pro Desainer [ 1 Bulan ] [ Garansi 1 Bulan ] - Layanan digital resmi terverifikasi dengan aktivasi instan.</t>
        </is>
      </c>
      <c r="M22" s="5" t="inlineStr">
        <is>
          <t>1 Bulan</t>
        </is>
      </c>
      <c r="N22" s="5" t="inlineStr">
        <is>
          <t>Garansi 1 Bulan</t>
        </is>
      </c>
      <c r="O22" s="8" t="inlineStr">
        <is>
          <t>VIP Reseller</t>
        </is>
      </c>
      <c r="P22" s="8" t="inlineStr">
        <is>
          <t>Database (Supabase) &amp; VIP Reseller</t>
        </is>
      </c>
      <c r="Q22" s="5" t="inlineStr">
        <is>
          <t>2026-10-02 21:15</t>
        </is>
      </c>
    </row>
    <row r="23" ht="20" customHeight="1">
      <c r="A23" s="9" t="n">
        <v>19</v>
      </c>
      <c r="B23" s="28" t="inlineStr">
        <is>
          <t>vip-iqiyishared-s1</t>
        </is>
      </c>
      <c r="C23" s="28" t="inlineStr">
        <is>
          <t>IQIYISHARED-S1</t>
        </is>
      </c>
      <c r="D23" s="12" t="inlineStr">
        <is>
          <t>IQIYI Premium [ 1 Bulan ] [ Shared ]</t>
        </is>
      </c>
      <c r="E23" s="12" t="inlineStr">
        <is>
          <t>Apps &amp; Streaming</t>
        </is>
      </c>
      <c r="F23" s="12" t="inlineStr">
        <is>
          <t>Apps &amp; Streaming</t>
        </is>
      </c>
      <c r="G23" s="9" t="inlineStr">
        <is>
          <t>Sharing</t>
        </is>
      </c>
      <c r="H23" s="9" t="inlineStr">
        <is>
          <t>Aktif</t>
        </is>
      </c>
      <c r="I23" s="9" t="inlineStr">
        <is>
          <t>Tersedia</t>
        </is>
      </c>
      <c r="J23" s="21" t="n">
        <v>10000</v>
      </c>
      <c r="K23" s="21" t="n">
        <v>13000</v>
      </c>
      <c r="L23" s="12" t="inlineStr">
        <is>
          <t>IQIYI Premium [ 1 Bulan ] [ Shared ] - Layanan digital resmi terverifikasi dengan aktivasi instan.</t>
        </is>
      </c>
      <c r="M23" s="9" t="inlineStr">
        <is>
          <t>1 Bulan</t>
        </is>
      </c>
      <c r="N23" s="9" t="inlineStr"/>
      <c r="O23" s="12" t="inlineStr">
        <is>
          <t>VIP Reseller</t>
        </is>
      </c>
      <c r="P23" s="12" t="inlineStr">
        <is>
          <t>Database (Supabase) &amp; VIP Reseller</t>
        </is>
      </c>
      <c r="Q23" s="9" t="inlineStr">
        <is>
          <t>2026-10-02 21:15</t>
        </is>
      </c>
    </row>
    <row r="24" ht="20" customHeight="1">
      <c r="A24" s="5" t="n">
        <v>20</v>
      </c>
      <c r="B24" s="29" t="inlineStr">
        <is>
          <t>vip-iqiyishared-s2</t>
        </is>
      </c>
      <c r="C24" s="29" t="inlineStr">
        <is>
          <t>IQIYISHARED-S2</t>
        </is>
      </c>
      <c r="D24" s="8" t="inlineStr">
        <is>
          <t>IQIYI Premium [ 1 Bulan ] [ Shared ] [ Promo ]</t>
        </is>
      </c>
      <c r="E24" s="8" t="inlineStr">
        <is>
          <t>Apps &amp; Streaming</t>
        </is>
      </c>
      <c r="F24" s="8" t="inlineStr">
        <is>
          <t>Apps &amp; Streaming</t>
        </is>
      </c>
      <c r="G24" s="5" t="inlineStr">
        <is>
          <t>Sharing</t>
        </is>
      </c>
      <c r="H24" s="5" t="inlineStr">
        <is>
          <t>Aktif</t>
        </is>
      </c>
      <c r="I24" s="5" t="inlineStr">
        <is>
          <t>Kosong</t>
        </is>
      </c>
      <c r="J24" s="18" t="n">
        <v>7000</v>
      </c>
      <c r="K24" s="18" t="n">
        <v>10000</v>
      </c>
      <c r="L24" s="8" t="inlineStr">
        <is>
          <t>IQIYI Premium [ 1 Bulan ] [ Shared ] [ Promo ] - Layanan digital resmi terverifikasi dengan aktivasi instan.</t>
        </is>
      </c>
      <c r="M24" s="5" t="inlineStr">
        <is>
          <t>1 Bulan</t>
        </is>
      </c>
      <c r="N24" s="5" t="inlineStr"/>
      <c r="O24" s="8" t="inlineStr">
        <is>
          <t>VIP Reseller</t>
        </is>
      </c>
      <c r="P24" s="8" t="inlineStr">
        <is>
          <t>Database (Supabase) &amp; VIP Reseller</t>
        </is>
      </c>
      <c r="Q24" s="5" t="inlineStr">
        <is>
          <t>2026-10-02 21:15</t>
        </is>
      </c>
    </row>
    <row r="25" ht="20" customHeight="1">
      <c r="A25" s="9" t="n">
        <v>21</v>
      </c>
      <c r="B25" s="28" t="inlineStr">
        <is>
          <t>vip-chatgptplus1bgar14d-s1</t>
        </is>
      </c>
      <c r="C25" s="28" t="inlineStr">
        <is>
          <t>CHATGPTPLUS1BGAR14D-S1</t>
        </is>
      </c>
      <c r="D25" s="12" t="inlineStr">
        <is>
          <t>ChatGPT - Plus Plan 1 Bulan [ Private Account ] [ Garansi 14 Hari ]</t>
        </is>
      </c>
      <c r="E25" s="12" t="inlineStr">
        <is>
          <t>Apps &amp; Streaming</t>
        </is>
      </c>
      <c r="F25" s="12" t="inlineStr">
        <is>
          <t>Apps &amp; Streaming</t>
        </is>
      </c>
      <c r="G25" s="9" t="inlineStr">
        <is>
          <t>Private</t>
        </is>
      </c>
      <c r="H25" s="9" t="inlineStr">
        <is>
          <t>Aktif</t>
        </is>
      </c>
      <c r="I25" s="9" t="inlineStr">
        <is>
          <t>Kosong</t>
        </is>
      </c>
      <c r="J25" s="21" t="n">
        <v>70000</v>
      </c>
      <c r="K25" s="21" t="n">
        <v>76000</v>
      </c>
      <c r="L25" s="12" t="inlineStr">
        <is>
          <t>Plus Plan 1 Bulan [ Private Account ] [ Garansi 14 Hari ] - Layanan digital resmi terverifikasi dengan aktivasi instan.</t>
        </is>
      </c>
      <c r="M25" s="9" t="inlineStr">
        <is>
          <t>1 Bulan</t>
        </is>
      </c>
      <c r="N25" s="9" t="inlineStr">
        <is>
          <t>Garansi 14 Hari</t>
        </is>
      </c>
      <c r="O25" s="12" t="inlineStr">
        <is>
          <t>VIP Reseller</t>
        </is>
      </c>
      <c r="P25" s="12" t="inlineStr">
        <is>
          <t>Database (Supabase) &amp; VIP Reseller</t>
        </is>
      </c>
      <c r="Q25" s="9" t="inlineStr">
        <is>
          <t>2026-10-02 21:15</t>
        </is>
      </c>
    </row>
    <row r="26" ht="20" customHeight="1">
      <c r="A26" s="5" t="n">
        <v>22</v>
      </c>
      <c r="B26" s="29" t="inlineStr">
        <is>
          <t>vip-chatgptplus1bgar28d-s1</t>
        </is>
      </c>
      <c r="C26" s="29" t="inlineStr">
        <is>
          <t>CHATGPTPLUS1BGAR28D-S1</t>
        </is>
      </c>
      <c r="D26" s="8" t="inlineStr">
        <is>
          <t>ChatGPT - Plus Plan 1 Bulan [ Private Account ] [ Garansi 28 Hari ]</t>
        </is>
      </c>
      <c r="E26" s="8" t="inlineStr">
        <is>
          <t>Apps &amp; Streaming</t>
        </is>
      </c>
      <c r="F26" s="8" t="inlineStr">
        <is>
          <t>Apps &amp; Streaming</t>
        </is>
      </c>
      <c r="G26" s="5" t="inlineStr">
        <is>
          <t>Private</t>
        </is>
      </c>
      <c r="H26" s="5" t="inlineStr">
        <is>
          <t>Aktif</t>
        </is>
      </c>
      <c r="I26" s="5" t="inlineStr">
        <is>
          <t>Kosong</t>
        </is>
      </c>
      <c r="J26" s="18" t="n">
        <v>47000</v>
      </c>
      <c r="K26" s="18" t="n">
        <v>51000</v>
      </c>
      <c r="L26" s="8" t="inlineStr">
        <is>
          <t>Plus Plan 1 Bulan [ Private Account ] [ Garansi 28 Hari ] - Layanan digital resmi terverifikasi dengan aktivasi instan.</t>
        </is>
      </c>
      <c r="M26" s="5" t="inlineStr">
        <is>
          <t>1 Bulan</t>
        </is>
      </c>
      <c r="N26" s="5" t="inlineStr">
        <is>
          <t>Garansi 28 Hari</t>
        </is>
      </c>
      <c r="O26" s="8" t="inlineStr">
        <is>
          <t>VIP Reseller</t>
        </is>
      </c>
      <c r="P26" s="8" t="inlineStr">
        <is>
          <t>Database (Supabase) &amp; VIP Reseller</t>
        </is>
      </c>
      <c r="Q26" s="5" t="inlineStr">
        <is>
          <t>2026-10-02 21:15</t>
        </is>
      </c>
    </row>
    <row r="27" ht="20" customHeight="1">
      <c r="A27" s="9" t="n">
        <v>23</v>
      </c>
      <c r="B27" s="28" t="inlineStr">
        <is>
          <t>vip-chatgptplus3bgar1bln-s1</t>
        </is>
      </c>
      <c r="C27" s="28" t="inlineStr">
        <is>
          <t>CHATGPTPLUS3BGAR1BLN-S1</t>
        </is>
      </c>
      <c r="D27" s="12" t="inlineStr">
        <is>
          <t>ChatGPT - Plus Plan 3 Bulan [ Private Account ] [ Garansi 1 Bulan ]</t>
        </is>
      </c>
      <c r="E27" s="12" t="inlineStr">
        <is>
          <t>Apps &amp; Streaming</t>
        </is>
      </c>
      <c r="F27" s="12" t="inlineStr">
        <is>
          <t>Apps &amp; Streaming</t>
        </is>
      </c>
      <c r="G27" s="9" t="inlineStr">
        <is>
          <t>Private</t>
        </is>
      </c>
      <c r="H27" s="9" t="inlineStr">
        <is>
          <t>Aktif</t>
        </is>
      </c>
      <c r="I27" s="9" t="inlineStr">
        <is>
          <t>Kosong</t>
        </is>
      </c>
      <c r="J27" s="21" t="n">
        <v>50000</v>
      </c>
      <c r="K27" s="21" t="n">
        <v>54000</v>
      </c>
      <c r="L27" s="12" t="inlineStr">
        <is>
          <t>Plus Plan 3 Bulan [ Private Account ] [ Garansi 1 Bulan ] - Layanan digital resmi terverifikasi dengan aktivasi instan.</t>
        </is>
      </c>
      <c r="M27" s="9" t="inlineStr">
        <is>
          <t>1 Bulan</t>
        </is>
      </c>
      <c r="N27" s="9" t="inlineStr">
        <is>
          <t>Garansi 1 Bulan</t>
        </is>
      </c>
      <c r="O27" s="12" t="inlineStr">
        <is>
          <t>VIP Reseller</t>
        </is>
      </c>
      <c r="P27" s="12" t="inlineStr">
        <is>
          <t>Database (Supabase) &amp; VIP Reseller</t>
        </is>
      </c>
      <c r="Q27" s="9" t="inlineStr">
        <is>
          <t>2026-10-02 21:15</t>
        </is>
      </c>
    </row>
    <row r="28" ht="20" customHeight="1">
      <c r="A28" s="5" t="n">
        <v>24</v>
      </c>
      <c r="B28" s="29" t="inlineStr">
        <is>
          <t>vip-viu1thngar1bln-s1</t>
        </is>
      </c>
      <c r="C28" s="29" t="inlineStr">
        <is>
          <t>VIU1THNGAR1BLN-S1</t>
        </is>
      </c>
      <c r="D28" s="8" t="inlineStr">
        <is>
          <t>VIU Premium - Private 12 Bulan [ AKUN - 1 DEVICES ] [GARANSI 1 BULAN]</t>
        </is>
      </c>
      <c r="E28" s="8" t="inlineStr">
        <is>
          <t>Apps &amp; Streaming</t>
        </is>
      </c>
      <c r="F28" s="8" t="inlineStr">
        <is>
          <t>Apps &amp; Streaming</t>
        </is>
      </c>
      <c r="G28" s="5" t="inlineStr">
        <is>
          <t>Private</t>
        </is>
      </c>
      <c r="H28" s="5" t="inlineStr">
        <is>
          <t>Aktif</t>
        </is>
      </c>
      <c r="I28" s="5" t="inlineStr">
        <is>
          <t>Tersedia</t>
        </is>
      </c>
      <c r="J28" s="18" t="n">
        <v>4500</v>
      </c>
      <c r="K28" s="18" t="n">
        <v>7500</v>
      </c>
      <c r="L28" s="8" t="inlineStr">
        <is>
          <t>Private 12 Bulan [ AKUN - 1 DEVICES ] [GARANSI 1 BULAN] - Layanan digital resmi terverifikasi dengan aktivasi instan.</t>
        </is>
      </c>
      <c r="M28" s="5" t="inlineStr">
        <is>
          <t>1 Tahun</t>
        </is>
      </c>
      <c r="N28" s="5" t="inlineStr">
        <is>
          <t>GARANSI 1 BULAN</t>
        </is>
      </c>
      <c r="O28" s="8" t="inlineStr">
        <is>
          <t>VIP Reseller</t>
        </is>
      </c>
      <c r="P28" s="8" t="inlineStr">
        <is>
          <t>Database (Supabase) &amp; VIP Reseller</t>
        </is>
      </c>
      <c r="Q28" s="5" t="inlineStr">
        <is>
          <t>2026-10-02 21:15</t>
        </is>
      </c>
    </row>
    <row r="29" ht="20" customHeight="1">
      <c r="A29" s="9" t="n">
        <v>25</v>
      </c>
      <c r="B29" s="28" t="inlineStr">
        <is>
          <t>vip-capcutprivate1bln-s2</t>
        </is>
      </c>
      <c r="C29" s="28" t="inlineStr">
        <is>
          <t>CAPCUTPRIVATE1BLN-S2</t>
        </is>
      </c>
      <c r="D29" s="12" t="inlineStr">
        <is>
          <t>CapCut - Private Akun 1 Bulan [ Garansi 7 Hari ]</t>
        </is>
      </c>
      <c r="E29" s="12" t="inlineStr">
        <is>
          <t>Apps &amp; Streaming</t>
        </is>
      </c>
      <c r="F29" s="12" t="inlineStr">
        <is>
          <t>Apps &amp; Streaming</t>
        </is>
      </c>
      <c r="G29" s="9" t="inlineStr">
        <is>
          <t>Private</t>
        </is>
      </c>
      <c r="H29" s="9" t="inlineStr">
        <is>
          <t>Aktif</t>
        </is>
      </c>
      <c r="I29" s="9" t="inlineStr">
        <is>
          <t>Kosong</t>
        </is>
      </c>
      <c r="J29" s="21" t="n">
        <v>10000</v>
      </c>
      <c r="K29" s="21" t="n">
        <v>15000</v>
      </c>
      <c r="L29" s="12" t="inlineStr">
        <is>
          <t>Private Akun 1 Bulan [ Garansi 7 Hari ] - Layanan digital resmi terverifikasi dengan aktivasi instan.</t>
        </is>
      </c>
      <c r="M29" s="9" t="inlineStr">
        <is>
          <t>1 Bulan</t>
        </is>
      </c>
      <c r="N29" s="9" t="inlineStr">
        <is>
          <t>Garansi 7 Hari</t>
        </is>
      </c>
      <c r="O29" s="12" t="inlineStr">
        <is>
          <t>VIP Reseller</t>
        </is>
      </c>
      <c r="P29" s="12" t="inlineStr">
        <is>
          <t>Database (Supabase) &amp; VIP Reseller</t>
        </is>
      </c>
      <c r="Q29" s="9" t="inlineStr">
        <is>
          <t>2026-10-02 21:15</t>
        </is>
      </c>
    </row>
    <row r="30" ht="20" customHeight="1">
      <c r="A30" s="5" t="n">
        <v>26</v>
      </c>
      <c r="B30" s="29" t="inlineStr">
        <is>
          <t>vip-capcutprivate30d-s1</t>
        </is>
      </c>
      <c r="C30" s="29" t="inlineStr">
        <is>
          <t>CAPCUTPRIVATE30D-S1</t>
        </is>
      </c>
      <c r="D30" s="8" t="inlineStr">
        <is>
          <t>CapCut - Private Akun 30 Hari [ Garansi 25 Hari ] [ Reg Indonesia ]</t>
        </is>
      </c>
      <c r="E30" s="8" t="inlineStr">
        <is>
          <t>Apps &amp; Streaming</t>
        </is>
      </c>
      <c r="F30" s="8" t="inlineStr">
        <is>
          <t>Apps &amp; Streaming</t>
        </is>
      </c>
      <c r="G30" s="5" t="inlineStr">
        <is>
          <t>Private</t>
        </is>
      </c>
      <c r="H30" s="5" t="inlineStr">
        <is>
          <t>Aktif</t>
        </is>
      </c>
      <c r="I30" s="5" t="inlineStr">
        <is>
          <t>Tersedia</t>
        </is>
      </c>
      <c r="J30" s="18" t="n">
        <v>34000</v>
      </c>
      <c r="K30" s="18" t="n">
        <v>37000</v>
      </c>
      <c r="L30" s="8" t="inlineStr">
        <is>
          <t>Private Akun 30 Hari [ Garansi 25 Hari ] [ Reg Indonesia ] - Layanan digital resmi terverifikasi dengan aktivasi instan.</t>
        </is>
      </c>
      <c r="M30" s="5" t="inlineStr">
        <is>
          <t>1 Bulan</t>
        </is>
      </c>
      <c r="N30" s="5" t="inlineStr">
        <is>
          <t>Garansi 25 Hari</t>
        </is>
      </c>
      <c r="O30" s="8" t="inlineStr">
        <is>
          <t>VIP Reseller</t>
        </is>
      </c>
      <c r="P30" s="8" t="inlineStr">
        <is>
          <t>Database (Supabase) &amp; VIP Reseller</t>
        </is>
      </c>
      <c r="Q30" s="5" t="inlineStr">
        <is>
          <t>2026-10-02 21:15</t>
        </is>
      </c>
    </row>
    <row r="31" ht="20" customHeight="1">
      <c r="A31" s="9" t="n">
        <v>27</v>
      </c>
      <c r="B31" s="28" t="inlineStr">
        <is>
          <t>vip-capcutprivate7d-s1</t>
        </is>
      </c>
      <c r="C31" s="28" t="inlineStr">
        <is>
          <t>CAPCUTPRIVATE7D-S1</t>
        </is>
      </c>
      <c r="D31" s="12" t="inlineStr">
        <is>
          <t>CapCut - Private Akun 7 Hari [ Garansi 5 Hari ]</t>
        </is>
      </c>
      <c r="E31" s="12" t="inlineStr">
        <is>
          <t>Apps &amp; Streaming</t>
        </is>
      </c>
      <c r="F31" s="12" t="inlineStr">
        <is>
          <t>Apps &amp; Streaming</t>
        </is>
      </c>
      <c r="G31" s="9" t="inlineStr">
        <is>
          <t>Private</t>
        </is>
      </c>
      <c r="H31" s="9" t="inlineStr">
        <is>
          <t>Aktif</t>
        </is>
      </c>
      <c r="I31" s="9" t="inlineStr">
        <is>
          <t>Tersedia</t>
        </is>
      </c>
      <c r="J31" s="21" t="n">
        <v>6500</v>
      </c>
      <c r="K31" s="21" t="n">
        <v>9500</v>
      </c>
      <c r="L31" s="12" t="inlineStr">
        <is>
          <t>Private Akun 7 Hari [ Garansi 5 Hari ] - Layanan digital resmi terverifikasi dengan aktivasi instan.</t>
        </is>
      </c>
      <c r="M31" s="9" t="inlineStr">
        <is>
          <t>7 Hari</t>
        </is>
      </c>
      <c r="N31" s="9" t="inlineStr">
        <is>
          <t>Garansi 5 Hari</t>
        </is>
      </c>
      <c r="O31" s="12" t="inlineStr">
        <is>
          <t>VIP Reseller</t>
        </is>
      </c>
      <c r="P31" s="12" t="inlineStr">
        <is>
          <t>Database (Supabase) &amp; VIP Reseller</t>
        </is>
      </c>
      <c r="Q31" s="9" t="inlineStr">
        <is>
          <t>2026-10-02 21:15</t>
        </is>
      </c>
    </row>
    <row r="32" ht="20" customHeight="1">
      <c r="A32" s="5" t="n">
        <v>28</v>
      </c>
      <c r="B32" s="29" t="inlineStr">
        <is>
          <t>vip-capcutshared1bln-s1</t>
        </is>
      </c>
      <c r="C32" s="29" t="inlineStr">
        <is>
          <t>CAPCUTSHARED1BLN-S1</t>
        </is>
      </c>
      <c r="D32" s="8" t="inlineStr">
        <is>
          <t>CapCut - Shared Akun [ 1 Bulan - 1 Devices ]</t>
        </is>
      </c>
      <c r="E32" s="8" t="inlineStr">
        <is>
          <t>Apps &amp; Streaming</t>
        </is>
      </c>
      <c r="F32" s="8" t="inlineStr">
        <is>
          <t>Apps &amp; Streaming</t>
        </is>
      </c>
      <c r="G32" s="5" t="inlineStr">
        <is>
          <t>Sharing</t>
        </is>
      </c>
      <c r="H32" s="5" t="inlineStr">
        <is>
          <t>Aktif</t>
        </is>
      </c>
      <c r="I32" s="5" t="inlineStr">
        <is>
          <t>Kosong</t>
        </is>
      </c>
      <c r="J32" s="18" t="n">
        <v>11000</v>
      </c>
      <c r="K32" s="18" t="n">
        <v>14000</v>
      </c>
      <c r="L32" s="8" t="inlineStr">
        <is>
          <t>Shared Akun [ 1 Bulan - 1 Devices ] - Layanan digital resmi terverifikasi dengan aktivasi instan.</t>
        </is>
      </c>
      <c r="M32" s="5" t="inlineStr">
        <is>
          <t>1 Bulan</t>
        </is>
      </c>
      <c r="N32" s="5" t="inlineStr"/>
      <c r="O32" s="8" t="inlineStr">
        <is>
          <t>VIP Reseller</t>
        </is>
      </c>
      <c r="P32" s="8" t="inlineStr">
        <is>
          <t>Database (Supabase) &amp; VIP Reseller</t>
        </is>
      </c>
      <c r="Q32" s="5" t="inlineStr">
        <is>
          <t>2026-10-02 21:15</t>
        </is>
      </c>
    </row>
    <row r="33" ht="20" customHeight="1">
      <c r="A33" s="9" t="n">
        <v>29</v>
      </c>
      <c r="B33" s="28" t="inlineStr">
        <is>
          <t>vip-capcutshared1thn-s1</t>
        </is>
      </c>
      <c r="C33" s="28" t="inlineStr">
        <is>
          <t>CAPCUTSHARED1THN-S1</t>
        </is>
      </c>
      <c r="D33" s="12" t="inlineStr">
        <is>
          <t>CapCut - Shared Akun [ 1 Tahun - 1 Devices ] [ Garansi 6 Bulan ]</t>
        </is>
      </c>
      <c r="E33" s="12" t="inlineStr">
        <is>
          <t>Apps &amp; Streaming</t>
        </is>
      </c>
      <c r="F33" s="12" t="inlineStr">
        <is>
          <t>Apps &amp; Streaming</t>
        </is>
      </c>
      <c r="G33" s="9" t="inlineStr">
        <is>
          <t>Sharing</t>
        </is>
      </c>
      <c r="H33" s="9" t="inlineStr">
        <is>
          <t>Aktif</t>
        </is>
      </c>
      <c r="I33" s="9" t="inlineStr">
        <is>
          <t>Kosong</t>
        </is>
      </c>
      <c r="J33" s="21" t="n">
        <v>15000</v>
      </c>
      <c r="K33" s="21" t="n">
        <v>18000</v>
      </c>
      <c r="L33" s="12" t="inlineStr">
        <is>
          <t>Shared Akun [ 1 Tahun - 1 Devices ] [ Garansi 6 Bulan ] - Layanan digital resmi terverifikasi dengan aktivasi instan.</t>
        </is>
      </c>
      <c r="M33" s="9" t="inlineStr">
        <is>
          <t>1 Tahun</t>
        </is>
      </c>
      <c r="N33" s="9" t="inlineStr">
        <is>
          <t>Garansi 6 Bulan</t>
        </is>
      </c>
      <c r="O33" s="12" t="inlineStr">
        <is>
          <t>VIP Reseller</t>
        </is>
      </c>
      <c r="P33" s="12" t="inlineStr">
        <is>
          <t>Database (Supabase) &amp; VIP Reseller</t>
        </is>
      </c>
      <c r="Q33" s="9" t="inlineStr">
        <is>
          <t>2026-10-02 21:15</t>
        </is>
      </c>
    </row>
    <row r="34" ht="20" customHeight="1">
      <c r="A34" s="5" t="n">
        <v>30</v>
      </c>
      <c r="B34" s="29" t="inlineStr">
        <is>
          <t>vip-capcutshared1bln-s3</t>
        </is>
      </c>
      <c r="C34" s="29" t="inlineStr">
        <is>
          <t>CAPCUTSHARED1BLN-S3</t>
        </is>
      </c>
      <c r="D34" s="8" t="inlineStr">
        <is>
          <t>CapCut - Shared Akun 1 Bulan [ 1 Devices - 2 User ] [ Garansi 28 Hari ]</t>
        </is>
      </c>
      <c r="E34" s="8" t="inlineStr">
        <is>
          <t>Apps &amp; Streaming</t>
        </is>
      </c>
      <c r="F34" s="8" t="inlineStr">
        <is>
          <t>Apps &amp; Streaming</t>
        </is>
      </c>
      <c r="G34" s="5" t="inlineStr">
        <is>
          <t>Sharing</t>
        </is>
      </c>
      <c r="H34" s="5" t="inlineStr">
        <is>
          <t>Aktif</t>
        </is>
      </c>
      <c r="I34" s="5" t="inlineStr">
        <is>
          <t>Kosong</t>
        </is>
      </c>
      <c r="J34" s="18" t="n">
        <v>16500</v>
      </c>
      <c r="K34" s="18" t="n">
        <v>19000</v>
      </c>
      <c r="L34" s="8" t="inlineStr">
        <is>
          <t>Shared Akun 1 Bulan [ 1 Devices - 2 User ] [ Garansi 28 Hari ] - Layanan digital resmi terverifikasi dengan aktivasi instan.</t>
        </is>
      </c>
      <c r="M34" s="5" t="inlineStr">
        <is>
          <t>1 Bulan</t>
        </is>
      </c>
      <c r="N34" s="5" t="inlineStr">
        <is>
          <t>Garansi 28 Hari</t>
        </is>
      </c>
      <c r="O34" s="8" t="inlineStr">
        <is>
          <t>VIP Reseller</t>
        </is>
      </c>
      <c r="P34" s="8" t="inlineStr">
        <is>
          <t>Database (Supabase) &amp; VIP Reseller</t>
        </is>
      </c>
      <c r="Q34" s="5" t="inlineStr">
        <is>
          <t>2026-10-02 21:15</t>
        </is>
      </c>
    </row>
    <row r="35" ht="20" customHeight="1">
      <c r="A35" s="9" t="n">
        <v>31</v>
      </c>
      <c r="B35" s="28" t="inlineStr">
        <is>
          <t>vip-capcutshared1blngar28d-s2</t>
        </is>
      </c>
      <c r="C35" s="28" t="inlineStr">
        <is>
          <t>CAPCUTSHARED1BLNGAR28D-S2</t>
        </is>
      </c>
      <c r="D35" s="12" t="inlineStr">
        <is>
          <t>CapCut - Shared Akun 1 Bulan [ 1 Devices - 2 User ] [ Garansi 28 Hari ]</t>
        </is>
      </c>
      <c r="E35" s="12" t="inlineStr">
        <is>
          <t>Apps &amp; Streaming</t>
        </is>
      </c>
      <c r="F35" s="12" t="inlineStr">
        <is>
          <t>Apps &amp; Streaming</t>
        </is>
      </c>
      <c r="G35" s="9" t="inlineStr">
        <is>
          <t>Sharing</t>
        </is>
      </c>
      <c r="H35" s="9" t="inlineStr">
        <is>
          <t>Aktif</t>
        </is>
      </c>
      <c r="I35" s="9" t="inlineStr">
        <is>
          <t>Kosong</t>
        </is>
      </c>
      <c r="J35" s="21" t="n">
        <v>16000</v>
      </c>
      <c r="K35" s="21" t="n">
        <v>19000</v>
      </c>
      <c r="L35" s="12" t="inlineStr">
        <is>
          <t>Shared Akun 1 Bulan [ 1 Devices - 2 User ] [ Garansi 28 Hari ] - Layanan digital resmi terverifikasi dengan aktivasi instan.</t>
        </is>
      </c>
      <c r="M35" s="9" t="inlineStr">
        <is>
          <t>1 Bulan</t>
        </is>
      </c>
      <c r="N35" s="9" t="inlineStr">
        <is>
          <t>Garansi 28 Hari</t>
        </is>
      </c>
      <c r="O35" s="12" t="inlineStr">
        <is>
          <t>VIP Reseller</t>
        </is>
      </c>
      <c r="P35" s="12" t="inlineStr">
        <is>
          <t>Database (Supabase) &amp; VIP Reseller</t>
        </is>
      </c>
      <c r="Q35" s="9" t="inlineStr">
        <is>
          <t>2026-10-02 21:15</t>
        </is>
      </c>
    </row>
    <row r="36" ht="20" customHeight="1">
      <c r="A36" s="5" t="n">
        <v>32</v>
      </c>
      <c r="B36" s="29" t="inlineStr">
        <is>
          <t>vip-capcutshared1bln-s2</t>
        </is>
      </c>
      <c r="C36" s="29" t="inlineStr">
        <is>
          <t>CAPCUTSHARED1BLN-S2</t>
        </is>
      </c>
      <c r="D36" s="8" t="inlineStr">
        <is>
          <t>CapCut - Shared Akun 1 Bulan [ 1 Devices - 2 User ] [ Garansi 7 Hari ]</t>
        </is>
      </c>
      <c r="E36" s="8" t="inlineStr">
        <is>
          <t>Apps &amp; Streaming</t>
        </is>
      </c>
      <c r="F36" s="8" t="inlineStr">
        <is>
          <t>Apps &amp; Streaming</t>
        </is>
      </c>
      <c r="G36" s="5" t="inlineStr">
        <is>
          <t>Sharing</t>
        </is>
      </c>
      <c r="H36" s="5" t="inlineStr">
        <is>
          <t>Aktif</t>
        </is>
      </c>
      <c r="I36" s="5" t="inlineStr">
        <is>
          <t>Kosong</t>
        </is>
      </c>
      <c r="J36" s="18" t="n">
        <v>13000</v>
      </c>
      <c r="K36" s="18" t="n">
        <v>16000</v>
      </c>
      <c r="L36" s="8" t="inlineStr">
        <is>
          <t>Shared Akun 1 Bulan [ 1 Devices - 2 User ] [ Garansi 7 Hari ] - Layanan digital resmi terverifikasi dengan aktivasi instan.</t>
        </is>
      </c>
      <c r="M36" s="5" t="inlineStr">
        <is>
          <t>1 Bulan</t>
        </is>
      </c>
      <c r="N36" s="5" t="inlineStr">
        <is>
          <t>Garansi 7 Hari</t>
        </is>
      </c>
      <c r="O36" s="8" t="inlineStr">
        <is>
          <t>VIP Reseller</t>
        </is>
      </c>
      <c r="P36" s="8" t="inlineStr">
        <is>
          <t>Database (Supabase) &amp; VIP Reseller</t>
        </is>
      </c>
      <c r="Q36" s="5" t="inlineStr">
        <is>
          <t>2026-10-02 21:15</t>
        </is>
      </c>
    </row>
    <row r="37" ht="20" customHeight="1">
      <c r="A37" s="9" t="n">
        <v>33</v>
      </c>
      <c r="B37" s="28" t="inlineStr">
        <is>
          <t>vip-vidioplatmobprivate-s1</t>
        </is>
      </c>
      <c r="C37" s="28" t="inlineStr">
        <is>
          <t>VIDIOPLATMOBPRIVATE-S1</t>
        </is>
      </c>
      <c r="D37" s="12" t="inlineStr">
        <is>
          <t>Vidio Platinum - Video Premier Platinum [ 1 Bulan ] [ Private - Khusus Mobile ]</t>
        </is>
      </c>
      <c r="E37" s="12" t="inlineStr">
        <is>
          <t>Apps &amp; Streaming</t>
        </is>
      </c>
      <c r="F37" s="12" t="inlineStr">
        <is>
          <t>Apps &amp; Streaming</t>
        </is>
      </c>
      <c r="G37" s="9" t="inlineStr">
        <is>
          <t>Private</t>
        </is>
      </c>
      <c r="H37" s="9" t="inlineStr">
        <is>
          <t>Aktif</t>
        </is>
      </c>
      <c r="I37" s="9" t="inlineStr">
        <is>
          <t>Tersedia</t>
        </is>
      </c>
      <c r="J37" s="21" t="n">
        <v>27000</v>
      </c>
      <c r="K37" s="21" t="n">
        <v>30000</v>
      </c>
      <c r="L37" s="12" t="inlineStr">
        <is>
          <t>Video Premier Platinum [ 1 Bulan ] [ Private - Khusus Mobile ] - Layanan digital resmi terverifikasi dengan aktivasi instan.</t>
        </is>
      </c>
      <c r="M37" s="9" t="inlineStr">
        <is>
          <t>1 Bulan</t>
        </is>
      </c>
      <c r="N37" s="9" t="inlineStr"/>
      <c r="O37" s="12" t="inlineStr">
        <is>
          <t>VIP Reseller</t>
        </is>
      </c>
      <c r="P37" s="12" t="inlineStr">
        <is>
          <t>Database (Supabase) &amp; VIP Reseller</t>
        </is>
      </c>
      <c r="Q37" s="9" t="inlineStr">
        <is>
          <t>2026-10-02 21:15</t>
        </is>
      </c>
    </row>
    <row r="38" ht="20" customHeight="1">
      <c r="A38" s="5" t="n">
        <v>34</v>
      </c>
      <c r="B38" s="29" t="inlineStr">
        <is>
          <t>vip-vidiosharedmbl1bln-s2</t>
        </is>
      </c>
      <c r="C38" s="29" t="inlineStr">
        <is>
          <t>VIDIOSHAREDMBL1BLN-S2</t>
        </is>
      </c>
      <c r="D38" s="8" t="inlineStr">
        <is>
          <t>Vidio Platinum - Video Premier Platinum [ 1 Bulan ] [ Shared 2 User - 1 Devices - Khusus Mobile]</t>
        </is>
      </c>
      <c r="E38" s="8" t="inlineStr">
        <is>
          <t>Apps &amp; Streaming</t>
        </is>
      </c>
      <c r="F38" s="8" t="inlineStr">
        <is>
          <t>Apps &amp; Streaming</t>
        </is>
      </c>
      <c r="G38" s="5" t="inlineStr">
        <is>
          <t>Sharing</t>
        </is>
      </c>
      <c r="H38" s="5" t="inlineStr">
        <is>
          <t>Aktif</t>
        </is>
      </c>
      <c r="I38" s="5" t="inlineStr">
        <is>
          <t>Tersedia</t>
        </is>
      </c>
      <c r="J38" s="18" t="n">
        <v>15000</v>
      </c>
      <c r="K38" s="18" t="n">
        <v>19500</v>
      </c>
      <c r="L38" s="8" t="inlineStr">
        <is>
          <t>Video Premier Platinum [ 1 Bulan ] [ Shared 2 User - 1 Devices - Khusus Mobile] - Layanan digital resmi terverifikasi dengan aktivasi instan.</t>
        </is>
      </c>
      <c r="M38" s="5" t="inlineStr">
        <is>
          <t>1 Bulan</t>
        </is>
      </c>
      <c r="N38" s="5" t="inlineStr"/>
      <c r="O38" s="8" t="inlineStr">
        <is>
          <t>VIP Reseller</t>
        </is>
      </c>
      <c r="P38" s="8" t="inlineStr">
        <is>
          <t>Database (Supabase) &amp; VIP Reseller</t>
        </is>
      </c>
      <c r="Q38" s="5" t="inlineStr">
        <is>
          <t>2026-10-02 21:15</t>
        </is>
      </c>
    </row>
    <row r="39" ht="20" customHeight="1">
      <c r="A39" s="9" t="n">
        <v>35</v>
      </c>
      <c r="B39" s="28" t="inlineStr">
        <is>
          <t>vip-viu1thngar3bln-s1</t>
        </is>
      </c>
      <c r="C39" s="28" t="inlineStr">
        <is>
          <t>VIU1THNGAR3BLN-S1</t>
        </is>
      </c>
      <c r="D39" s="12" t="inlineStr">
        <is>
          <t>VIU Private 12 Bulan [ AKUN - 1 DEVICES ] [GARANSI 3 BULAN]</t>
        </is>
      </c>
      <c r="E39" s="12" t="inlineStr">
        <is>
          <t>Apps &amp; Streaming</t>
        </is>
      </c>
      <c r="F39" s="12" t="inlineStr">
        <is>
          <t>Apps &amp; Streaming</t>
        </is>
      </c>
      <c r="G39" s="9" t="inlineStr">
        <is>
          <t>Private</t>
        </is>
      </c>
      <c r="H39" s="9" t="inlineStr">
        <is>
          <t>Aktif</t>
        </is>
      </c>
      <c r="I39" s="9" t="inlineStr">
        <is>
          <t>Tersedia</t>
        </is>
      </c>
      <c r="J39" s="21" t="n">
        <v>6500</v>
      </c>
      <c r="K39" s="21" t="n">
        <v>12000</v>
      </c>
      <c r="L39" s="12" t="inlineStr">
        <is>
          <t>Private 12 Bulan [ AKUN - 1 DEVICES ] [GARANSI 3 BULAN] - Layanan digital resmi terverifikasi dengan aktivasi instan.</t>
        </is>
      </c>
      <c r="M39" s="9" t="inlineStr">
        <is>
          <t>1 Tahun</t>
        </is>
      </c>
      <c r="N39" s="9" t="inlineStr">
        <is>
          <t>GARANSI 3 BULAN</t>
        </is>
      </c>
      <c r="O39" s="12" t="inlineStr">
        <is>
          <t>VIP Reseller</t>
        </is>
      </c>
      <c r="P39" s="12" t="inlineStr">
        <is>
          <t>Database (Supabase) &amp; VIP Reseller</t>
        </is>
      </c>
      <c r="Q39" s="9" t="inlineStr">
        <is>
          <t>2026-10-02 21:15</t>
        </is>
      </c>
    </row>
    <row r="40" ht="20" customHeight="1">
      <c r="A40" s="5" t="n">
        <v>36</v>
      </c>
      <c r="B40" s="29" t="inlineStr">
        <is>
          <t>vip-wetvprivate1bln-s1</t>
        </is>
      </c>
      <c r="C40" s="29" t="inlineStr">
        <is>
          <t>WETVPRIVATE1BLN-S1</t>
        </is>
      </c>
      <c r="D40" s="8" t="inlineStr">
        <is>
          <t>WETV Premium [ 1 Bulan ] [ Private ]</t>
        </is>
      </c>
      <c r="E40" s="8" t="inlineStr">
        <is>
          <t>Apps &amp; Streaming</t>
        </is>
      </c>
      <c r="F40" s="8" t="inlineStr">
        <is>
          <t>Apps &amp; Streaming</t>
        </is>
      </c>
      <c r="G40" s="5" t="inlineStr">
        <is>
          <t>Private</t>
        </is>
      </c>
      <c r="H40" s="5" t="inlineStr">
        <is>
          <t>Aktif</t>
        </is>
      </c>
      <c r="I40" s="5" t="inlineStr">
        <is>
          <t>Tersedia</t>
        </is>
      </c>
      <c r="J40" s="18" t="n">
        <v>30000</v>
      </c>
      <c r="K40" s="18" t="n">
        <v>33000</v>
      </c>
      <c r="L40" s="8" t="inlineStr">
        <is>
          <t>WETV Premium [ 1 Bulan ] [ Private ] - Layanan digital resmi terverifikasi dengan aktivasi instan.</t>
        </is>
      </c>
      <c r="M40" s="5" t="inlineStr">
        <is>
          <t>1 Bulan</t>
        </is>
      </c>
      <c r="N40" s="5" t="inlineStr"/>
      <c r="O40" s="8" t="inlineStr">
        <is>
          <t>VIP Reseller</t>
        </is>
      </c>
      <c r="P40" s="8" t="inlineStr">
        <is>
          <t>Database (Supabase) &amp; VIP Reseller</t>
        </is>
      </c>
      <c r="Q40" s="5" t="inlineStr">
        <is>
          <t>2026-10-02 21:15</t>
        </is>
      </c>
    </row>
    <row r="41" ht="20" customHeight="1">
      <c r="A41" s="9" t="n">
        <v>37</v>
      </c>
      <c r="B41" s="28" t="inlineStr">
        <is>
          <t>vip-wetvshared1bln-s2</t>
        </is>
      </c>
      <c r="C41" s="28" t="inlineStr">
        <is>
          <t>WETVSHARED1BLN-S2</t>
        </is>
      </c>
      <c r="D41" s="12" t="inlineStr">
        <is>
          <t>WETV Premium [ 1 Bulan] [ Shared - 1 Devices ]</t>
        </is>
      </c>
      <c r="E41" s="12" t="inlineStr">
        <is>
          <t>Apps &amp; Streaming</t>
        </is>
      </c>
      <c r="F41" s="12" t="inlineStr">
        <is>
          <t>Apps &amp; Streaming</t>
        </is>
      </c>
      <c r="G41" s="9" t="inlineStr">
        <is>
          <t>Sharing</t>
        </is>
      </c>
      <c r="H41" s="9" t="inlineStr">
        <is>
          <t>Aktif</t>
        </is>
      </c>
      <c r="I41" s="9" t="inlineStr">
        <is>
          <t>Tersedia</t>
        </is>
      </c>
      <c r="J41" s="21" t="n">
        <v>8500</v>
      </c>
      <c r="K41" s="21" t="n">
        <v>12000</v>
      </c>
      <c r="L41" s="12" t="inlineStr">
        <is>
          <t>WETV Premium [ 1 Bulan] [ Shared - 1 Devices ] - Layanan digital resmi terverifikasi dengan aktivasi instan.</t>
        </is>
      </c>
      <c r="M41" s="9" t="inlineStr">
        <is>
          <t>1 Bulan</t>
        </is>
      </c>
      <c r="N41" s="9" t="inlineStr"/>
      <c r="O41" s="12" t="inlineStr">
        <is>
          <t>VIP Reseller</t>
        </is>
      </c>
      <c r="P41" s="12" t="inlineStr">
        <is>
          <t>Database (Supabase) &amp; VIP Reseller</t>
        </is>
      </c>
      <c r="Q41" s="9" t="inlineStr">
        <is>
          <t>2026-10-02 21:15</t>
        </is>
      </c>
    </row>
    <row r="42" ht="22" customHeight="1">
      <c r="A42" s="23" t="inlineStr">
        <is>
          <t>TOTAL / RATA-RATA</t>
        </is>
      </c>
      <c r="B42" s="30" t="inlineStr"/>
      <c r="C42" s="30" t="inlineStr"/>
      <c r="D42" s="30" t="inlineStr"/>
      <c r="E42" s="30" t="inlineStr"/>
      <c r="F42" s="30" t="inlineStr"/>
      <c r="G42" s="30" t="inlineStr"/>
      <c r="H42" s="30" t="inlineStr"/>
      <c r="I42" s="30" t="inlineStr"/>
      <c r="J42" s="25">
        <f>AVERAGE(J5:J41)</f>
        <v/>
      </c>
      <c r="K42" s="25">
        <f>AVERAGE(K5:K41)</f>
        <v/>
      </c>
      <c r="L42" s="30" t="inlineStr"/>
      <c r="M42" s="30" t="inlineStr"/>
      <c r="N42" s="30" t="inlineStr"/>
      <c r="O42" s="30" t="inlineStr"/>
      <c r="P42" s="30" t="inlineStr"/>
      <c r="Q42" s="30" t="inlineStr"/>
    </row>
  </sheetData>
  <mergeCells count="2">
    <mergeCell ref="A2:Q2"/>
    <mergeCell ref="A1:Q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42"/>
  <sheetViews>
    <sheetView showGridLines="1"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18" customWidth="1" min="7" max="7"/>
    <col width="18" customWidth="1" min="8" max="8"/>
    <col width="18" customWidth="1" min="9" max="9"/>
    <col width="22" customWidth="1" min="10" max="10"/>
    <col width="23" customWidth="1" min="11" max="11"/>
    <col width="47" customWidth="1" min="12" max="12"/>
    <col width="14" customWidth="1" min="13" max="13"/>
    <col width="20" customWidth="1" min="14" max="14"/>
    <col width="12" customWidth="1" min="15" max="15"/>
    <col width="12" customWidth="1" min="16" max="16"/>
    <col width="25" customWidth="1" min="17" max="17"/>
    <col width="18" customWidth="1" min="18" max="18"/>
    <col width="18" customWidth="1" min="19" max="19"/>
    <col width="10" customWidth="1" min="20" max="20"/>
    <col width="18" customWidth="1" min="21" max="21"/>
    <col width="20" customWidth="1" min="22" max="22"/>
    <col width="18" customWidth="1" min="23" max="23"/>
    <col width="18" customWidth="1" min="24" max="24"/>
    <col width="18" customWidth="1" min="25" max="25"/>
    <col width="18" customWidth="1" min="26" max="26"/>
    <col width="20" customWidth="1" min="27" max="27"/>
    <col width="20" customWidth="1" min="28" max="28"/>
    <col width="99" customWidth="1" min="29" max="29"/>
    <col width="95" customWidth="1" min="30" max="30"/>
  </cols>
  <sheetData>
    <row r="1" ht="28" customHeight="1">
      <c r="A1" s="1" t="inlineStr">
        <is>
          <t>ASTERRA STORE — ANALISIS PRICING, MARGIN &amp; DISTRIBUSI PENDAPATAN</t>
        </is>
      </c>
    </row>
    <row r="2" ht="18" customHeight="1">
      <c r="A2" s="2" t="inlineStr">
        <is>
          <t>Formula Dasar: Gross Profit = Selling - Cost | Minimum Profit = Rp3.000 | Sales Commission Baseline = 10% | Promo Customer = 5% (Maks. Rp5.000) ditanggung CEO 50% &amp; COO 50%</t>
        </is>
      </c>
    </row>
    <row r="3"/>
    <row r="4" ht="28" customHeight="1">
      <c r="A4" s="4" t="inlineStr">
        <is>
          <t>No</t>
        </is>
      </c>
      <c r="B4" s="4" t="inlineStr">
        <is>
          <t>Product ID</t>
        </is>
      </c>
      <c r="C4" s="4" t="inlineStr">
        <is>
          <t>Product Name</t>
        </is>
      </c>
      <c r="D4" s="4" t="inlineStr">
        <is>
          <t>Category</t>
        </is>
      </c>
      <c r="E4" s="4" t="inlineStr">
        <is>
          <t>Cost Price</t>
        </is>
      </c>
      <c r="F4" s="4" t="inlineStr">
        <is>
          <t>Current Selling Price</t>
        </is>
      </c>
      <c r="G4" s="4" t="inlineStr">
        <is>
          <t>Gross Profit</t>
        </is>
      </c>
      <c r="H4" s="4" t="inlineStr">
        <is>
          <t>Gross Margin %</t>
        </is>
      </c>
      <c r="I4" s="4" t="inlineStr">
        <is>
          <t>Markup %</t>
        </is>
      </c>
      <c r="J4" s="4" t="inlineStr">
        <is>
          <t>Minimum Gross Profit</t>
        </is>
      </c>
      <c r="K4" s="4" t="inlineStr">
        <is>
          <t>Minimum Selling Price</t>
        </is>
      </c>
      <c r="L4" s="4" t="inlineStr">
        <is>
          <t>Pricing Status</t>
        </is>
      </c>
      <c r="M4" s="4" t="inlineStr">
        <is>
          <t>Pricing Type</t>
        </is>
      </c>
      <c r="N4" s="4" t="inlineStr">
        <is>
          <t>Sales Commission %</t>
        </is>
      </c>
      <c r="O4" s="4" t="inlineStr">
        <is>
          <t>CEO %</t>
        </is>
      </c>
      <c r="P4" s="4" t="inlineStr">
        <is>
          <t>COO %</t>
        </is>
      </c>
      <c r="Q4" s="4" t="inlineStr">
        <is>
          <t>Sales Commission Amount</t>
        </is>
      </c>
      <c r="R4" s="4" t="inlineStr">
        <is>
          <t>CEO Gross Share</t>
        </is>
      </c>
      <c r="S4" s="4" t="inlineStr">
        <is>
          <t>COO Gross Share</t>
        </is>
      </c>
      <c r="T4" s="4" t="inlineStr">
        <is>
          <t>Promo %</t>
        </is>
      </c>
      <c r="U4" s="4" t="inlineStr">
        <is>
          <t>Maximum Discount</t>
        </is>
      </c>
      <c r="V4" s="4" t="inlineStr">
        <is>
          <t>Actual Discount</t>
        </is>
      </c>
      <c r="W4" s="4" t="inlineStr">
        <is>
          <t>CEO Promo Burden</t>
        </is>
      </c>
      <c r="X4" s="4" t="inlineStr">
        <is>
          <t>COO Promo Burden</t>
        </is>
      </c>
      <c r="Y4" s="4" t="inlineStr">
        <is>
          <t>CEO Final Income</t>
        </is>
      </c>
      <c r="Z4" s="4" t="inlineStr">
        <is>
          <t>COO Final Income</t>
        </is>
      </c>
      <c r="AA4" s="4" t="inlineStr">
        <is>
          <t>Sales Final Income</t>
        </is>
      </c>
      <c r="AB4" s="4" t="inlineStr">
        <is>
          <t>Profit After Promo</t>
        </is>
      </c>
      <c r="AC4" s="4" t="inlineStr">
        <is>
          <t>Review Flag</t>
        </is>
      </c>
      <c r="AD4" s="4" t="inlineStr">
        <is>
          <t>Notes</t>
        </is>
      </c>
    </row>
    <row r="5" ht="20" customHeight="1">
      <c r="A5" s="9">
        <f>ACTIVE_PRODUCTS_RAW!A5</f>
        <v/>
      </c>
      <c r="B5" s="28">
        <f>ACTIVE_PRODUCTS_RAW!B5</f>
        <v/>
      </c>
      <c r="C5" s="12">
        <f>ACTIVE_PRODUCTS_RAW!D5</f>
        <v/>
      </c>
      <c r="D5" s="12">
        <f>ACTIVE_PRODUCTS_RAW!E5</f>
        <v/>
      </c>
      <c r="E5" s="21">
        <f>ACTIVE_PRODUCTS_RAW!J5</f>
        <v/>
      </c>
      <c r="F5" s="21">
        <f>ACTIVE_PRODUCTS_RAW!K5</f>
        <v/>
      </c>
      <c r="G5" s="21">
        <f>F5-E5</f>
        <v/>
      </c>
      <c r="H5" s="22">
        <f>G5/F5</f>
        <v/>
      </c>
      <c r="I5" s="22">
        <f>G5/E5</f>
        <v/>
      </c>
      <c r="J5" s="21" t="n">
        <v>3000</v>
      </c>
      <c r="K5" s="21">
        <f>E5+J5</f>
        <v/>
      </c>
      <c r="L5" s="31">
        <f>IF(G5&gt;=J5,"MEETS MINIMUM","BELOW MINIMUM")</f>
        <v/>
      </c>
      <c r="M5" s="9" t="inlineStr">
        <is>
          <t>STANDARD</t>
        </is>
      </c>
      <c r="N5" s="22" t="n">
        <v>0.1</v>
      </c>
      <c r="O5" s="22">
        <f>(1-N5)/2</f>
        <v/>
      </c>
      <c r="P5" s="22">
        <f>(1-N5)/2</f>
        <v/>
      </c>
      <c r="Q5" s="21">
        <f>G5*N5</f>
        <v/>
      </c>
      <c r="R5" s="21">
        <f>(G5-Q5)/2</f>
        <v/>
      </c>
      <c r="S5" s="21">
        <f>(G5-Q5)/2</f>
        <v/>
      </c>
      <c r="T5" s="22" t="n">
        <v>0.05</v>
      </c>
      <c r="U5" s="21" t="n">
        <v>5000</v>
      </c>
      <c r="V5" s="21">
        <f>MIN(F5*T5, U5)</f>
        <v/>
      </c>
      <c r="W5" s="21">
        <f>V5*0.5</f>
        <v/>
      </c>
      <c r="X5" s="21">
        <f>V5*0.5</f>
        <v/>
      </c>
      <c r="Y5" s="21">
        <f>R5-W5</f>
        <v/>
      </c>
      <c r="Z5" s="21">
        <f>S5-X5</f>
        <v/>
      </c>
      <c r="AA5" s="21">
        <f>Q5</f>
        <v/>
      </c>
      <c r="AB5" s="21">
        <f>G5-V5</f>
        <v/>
      </c>
      <c r="AC5" s="31">
        <f>IF(M5="MANUAL","MANUAL REVIEW",IF(G5&lt;J5,"BELOW MINIMUM",IF(Y5&lt;0,"NEGATIVE CEO SHARE","OK")))</f>
        <v/>
      </c>
      <c r="AD5" s="12" t="inlineStr">
        <is>
          <t>Margin sehat memenuhi target laba minimum Asterra (&gt;= Rp3.000).</t>
        </is>
      </c>
    </row>
    <row r="6" ht="20" customHeight="1">
      <c r="A6" s="5">
        <f>ACTIVE_PRODUCTS_RAW!A6</f>
        <v/>
      </c>
      <c r="B6" s="29">
        <f>ACTIVE_PRODUCTS_RAW!B6</f>
        <v/>
      </c>
      <c r="C6" s="8">
        <f>ACTIVE_PRODUCTS_RAW!D6</f>
        <v/>
      </c>
      <c r="D6" s="8">
        <f>ACTIVE_PRODUCTS_RAW!E6</f>
        <v/>
      </c>
      <c r="E6" s="18">
        <f>ACTIVE_PRODUCTS_RAW!J6</f>
        <v/>
      </c>
      <c r="F6" s="18">
        <f>ACTIVE_PRODUCTS_RAW!K6</f>
        <v/>
      </c>
      <c r="G6" s="18">
        <f>F6-E6</f>
        <v/>
      </c>
      <c r="H6" s="19">
        <f>G6/F6</f>
        <v/>
      </c>
      <c r="I6" s="19">
        <f>G6/E6</f>
        <v/>
      </c>
      <c r="J6" s="18" t="n">
        <v>3000</v>
      </c>
      <c r="K6" s="18">
        <f>E6+J6</f>
        <v/>
      </c>
      <c r="L6" s="31">
        <f>IF(G6&gt;=J6,"MEETS MINIMUM","BELOW MINIMUM")</f>
        <v/>
      </c>
      <c r="M6" s="5" t="inlineStr">
        <is>
          <t>STANDARD</t>
        </is>
      </c>
      <c r="N6" s="19" t="n">
        <v>0.1</v>
      </c>
      <c r="O6" s="19">
        <f>(1-N6)/2</f>
        <v/>
      </c>
      <c r="P6" s="19">
        <f>(1-N6)/2</f>
        <v/>
      </c>
      <c r="Q6" s="18">
        <f>G6*N6</f>
        <v/>
      </c>
      <c r="R6" s="18">
        <f>(G6-Q6)/2</f>
        <v/>
      </c>
      <c r="S6" s="18">
        <f>(G6-Q6)/2</f>
        <v/>
      </c>
      <c r="T6" s="19" t="n">
        <v>0.05</v>
      </c>
      <c r="U6" s="18" t="n">
        <v>5000</v>
      </c>
      <c r="V6" s="18">
        <f>MIN(F6*T6, U6)</f>
        <v/>
      </c>
      <c r="W6" s="18">
        <f>V6*0.5</f>
        <v/>
      </c>
      <c r="X6" s="18">
        <f>V6*0.5</f>
        <v/>
      </c>
      <c r="Y6" s="18">
        <f>R6-W6</f>
        <v/>
      </c>
      <c r="Z6" s="18">
        <f>S6-X6</f>
        <v/>
      </c>
      <c r="AA6" s="18">
        <f>Q6</f>
        <v/>
      </c>
      <c r="AB6" s="18">
        <f>G6-V6</f>
        <v/>
      </c>
      <c r="AC6" s="31">
        <f>IF(M6="MANUAL","MANUAL REVIEW",IF(G6&lt;J6,"BELOW MINIMUM",IF(Y6&lt;0,"NEGATIVE CEO SHARE","OK")))</f>
        <v/>
      </c>
      <c r="AD6" s="8" t="inlineStr">
        <is>
          <t>Margin sehat memenuhi target laba minimum Asterra (&gt;= Rp3.000).</t>
        </is>
      </c>
    </row>
    <row r="7" ht="20" customHeight="1">
      <c r="A7" s="9">
        <f>ACTIVE_PRODUCTS_RAW!A7</f>
        <v/>
      </c>
      <c r="B7" s="28">
        <f>ACTIVE_PRODUCTS_RAW!B7</f>
        <v/>
      </c>
      <c r="C7" s="12">
        <f>ACTIVE_PRODUCTS_RAW!D7</f>
        <v/>
      </c>
      <c r="D7" s="12">
        <f>ACTIVE_PRODUCTS_RAW!E7</f>
        <v/>
      </c>
      <c r="E7" s="21">
        <f>ACTIVE_PRODUCTS_RAW!J7</f>
        <v/>
      </c>
      <c r="F7" s="21">
        <f>ACTIVE_PRODUCTS_RAW!K7</f>
        <v/>
      </c>
      <c r="G7" s="21">
        <f>F7-E7</f>
        <v/>
      </c>
      <c r="H7" s="22">
        <f>G7/F7</f>
        <v/>
      </c>
      <c r="I7" s="22">
        <f>G7/E7</f>
        <v/>
      </c>
      <c r="J7" s="21" t="n">
        <v>3000</v>
      </c>
      <c r="K7" s="21">
        <f>E7+J7</f>
        <v/>
      </c>
      <c r="L7" s="31">
        <f>IF(G7&gt;=J7,"MEETS MINIMUM","BELOW MINIMUM")</f>
        <v/>
      </c>
      <c r="M7" s="32" t="inlineStr">
        <is>
          <t>MANUAL</t>
        </is>
      </c>
      <c r="N7" s="22" t="n">
        <v>0.1</v>
      </c>
      <c r="O7" s="22">
        <f>(1-N7)/2</f>
        <v/>
      </c>
      <c r="P7" s="22">
        <f>(1-N7)/2</f>
        <v/>
      </c>
      <c r="Q7" s="21">
        <f>G7*N7</f>
        <v/>
      </c>
      <c r="R7" s="21">
        <f>(G7-Q7)/2</f>
        <v/>
      </c>
      <c r="S7" s="21">
        <f>(G7-Q7)/2</f>
        <v/>
      </c>
      <c r="T7" s="22" t="n">
        <v>0.05</v>
      </c>
      <c r="U7" s="21" t="n">
        <v>5000</v>
      </c>
      <c r="V7" s="21">
        <f>MIN(F7*T7, U7)</f>
        <v/>
      </c>
      <c r="W7" s="21">
        <f>V7*0.5</f>
        <v/>
      </c>
      <c r="X7" s="21">
        <f>V7*0.5</f>
        <v/>
      </c>
      <c r="Y7" s="21">
        <f>R7-W7</f>
        <v/>
      </c>
      <c r="Z7" s="21">
        <f>S7-X7</f>
        <v/>
      </c>
      <c r="AA7" s="21">
        <f>Q7</f>
        <v/>
      </c>
      <c r="AB7" s="21">
        <f>G7-V7</f>
        <v/>
      </c>
      <c r="AC7" s="32">
        <f>IF(M7="MANUAL","MANUAL REVIEW",IF(G7&lt;J7,"BELOW MINIMUM",IF(Y7&lt;0,"NEGATIVE CEO SHARE","OK")))</f>
        <v/>
      </c>
      <c r="AD7" s="12" t="inlineStr">
        <is>
          <t>Target Price Ladder Asterra: Rp25.000 (Sesuai patokan resmi; profit Rp12.000).</t>
        </is>
      </c>
    </row>
    <row r="8" ht="20" customHeight="1">
      <c r="A8" s="5">
        <f>ACTIVE_PRODUCTS_RAW!A8</f>
        <v/>
      </c>
      <c r="B8" s="29">
        <f>ACTIVE_PRODUCTS_RAW!B8</f>
        <v/>
      </c>
      <c r="C8" s="8">
        <f>ACTIVE_PRODUCTS_RAW!D8</f>
        <v/>
      </c>
      <c r="D8" s="8">
        <f>ACTIVE_PRODUCTS_RAW!E8</f>
        <v/>
      </c>
      <c r="E8" s="18">
        <f>ACTIVE_PRODUCTS_RAW!J8</f>
        <v/>
      </c>
      <c r="F8" s="18">
        <f>ACTIVE_PRODUCTS_RAW!K8</f>
        <v/>
      </c>
      <c r="G8" s="18">
        <f>F8-E8</f>
        <v/>
      </c>
      <c r="H8" s="19">
        <f>G8/F8</f>
        <v/>
      </c>
      <c r="I8" s="19">
        <f>G8/E8</f>
        <v/>
      </c>
      <c r="J8" s="18" t="n">
        <v>3000</v>
      </c>
      <c r="K8" s="18">
        <f>E8+J8</f>
        <v/>
      </c>
      <c r="L8" s="31">
        <f>IF(G8&gt;=J8,"MEETS MINIMUM","BELOW MINIMUM")</f>
        <v/>
      </c>
      <c r="M8" s="32" t="inlineStr">
        <is>
          <t>MANUAL</t>
        </is>
      </c>
      <c r="N8" s="19" t="n">
        <v>0.1</v>
      </c>
      <c r="O8" s="19">
        <f>(1-N8)/2</f>
        <v/>
      </c>
      <c r="P8" s="19">
        <f>(1-N8)/2</f>
        <v/>
      </c>
      <c r="Q8" s="18">
        <f>G8*N8</f>
        <v/>
      </c>
      <c r="R8" s="18">
        <f>(G8-Q8)/2</f>
        <v/>
      </c>
      <c r="S8" s="18">
        <f>(G8-Q8)/2</f>
        <v/>
      </c>
      <c r="T8" s="19" t="n">
        <v>0.05</v>
      </c>
      <c r="U8" s="18" t="n">
        <v>5000</v>
      </c>
      <c r="V8" s="18">
        <f>MIN(F8*T8, U8)</f>
        <v/>
      </c>
      <c r="W8" s="18">
        <f>V8*0.5</f>
        <v/>
      </c>
      <c r="X8" s="18">
        <f>V8*0.5</f>
        <v/>
      </c>
      <c r="Y8" s="18">
        <f>R8-W8</f>
        <v/>
      </c>
      <c r="Z8" s="18">
        <f>S8-X8</f>
        <v/>
      </c>
      <c r="AA8" s="18">
        <f>Q8</f>
        <v/>
      </c>
      <c r="AB8" s="18">
        <f>G8-V8</f>
        <v/>
      </c>
      <c r="AC8" s="32">
        <f>IF(M8="MANUAL","MANUAL REVIEW",IF(G8&lt;J8,"BELOW MINIMUM",IF(Y8&lt;0,"NEGATIVE CEO SHARE","OK")))</f>
        <v/>
      </c>
      <c r="AD8" s="8" t="inlineStr">
        <is>
          <t>Target Price Ladder Asterra: Rp60.000 (Saat ini di web Rp21.000; tinjau update live CMS/DB).</t>
        </is>
      </c>
    </row>
    <row r="9" ht="20" customHeight="1">
      <c r="A9" s="9">
        <f>ACTIVE_PRODUCTS_RAW!A9</f>
        <v/>
      </c>
      <c r="B9" s="28">
        <f>ACTIVE_PRODUCTS_RAW!B9</f>
        <v/>
      </c>
      <c r="C9" s="12">
        <f>ACTIVE_PRODUCTS_RAW!D9</f>
        <v/>
      </c>
      <c r="D9" s="12">
        <f>ACTIVE_PRODUCTS_RAW!E9</f>
        <v/>
      </c>
      <c r="E9" s="21">
        <f>ACTIVE_PRODUCTS_RAW!J9</f>
        <v/>
      </c>
      <c r="F9" s="21">
        <f>ACTIVE_PRODUCTS_RAW!K9</f>
        <v/>
      </c>
      <c r="G9" s="21">
        <f>F9-E9</f>
        <v/>
      </c>
      <c r="H9" s="22">
        <f>G9/F9</f>
        <v/>
      </c>
      <c r="I9" s="22">
        <f>G9/E9</f>
        <v/>
      </c>
      <c r="J9" s="21" t="n">
        <v>3000</v>
      </c>
      <c r="K9" s="21">
        <f>E9+J9</f>
        <v/>
      </c>
      <c r="L9" s="31">
        <f>IF(G9&gt;=J9,"MEETS MINIMUM","BELOW MINIMUM")</f>
        <v/>
      </c>
      <c r="M9" s="32" t="inlineStr">
        <is>
          <t>MANUAL</t>
        </is>
      </c>
      <c r="N9" s="22" t="n">
        <v>0.1</v>
      </c>
      <c r="O9" s="22">
        <f>(1-N9)/2</f>
        <v/>
      </c>
      <c r="P9" s="22">
        <f>(1-N9)/2</f>
        <v/>
      </c>
      <c r="Q9" s="21">
        <f>G9*N9</f>
        <v/>
      </c>
      <c r="R9" s="21">
        <f>(G9-Q9)/2</f>
        <v/>
      </c>
      <c r="S9" s="21">
        <f>(G9-Q9)/2</f>
        <v/>
      </c>
      <c r="T9" s="22" t="n">
        <v>0.05</v>
      </c>
      <c r="U9" s="21" t="n">
        <v>5000</v>
      </c>
      <c r="V9" s="21">
        <f>MIN(F9*T9, U9)</f>
        <v/>
      </c>
      <c r="W9" s="21">
        <f>V9*0.5</f>
        <v/>
      </c>
      <c r="X9" s="21">
        <f>V9*0.5</f>
        <v/>
      </c>
      <c r="Y9" s="21">
        <f>R9-W9</f>
        <v/>
      </c>
      <c r="Z9" s="21">
        <f>S9-X9</f>
        <v/>
      </c>
      <c r="AA9" s="21">
        <f>Q9</f>
        <v/>
      </c>
      <c r="AB9" s="21">
        <f>G9-V9</f>
        <v/>
      </c>
      <c r="AC9" s="32">
        <f>IF(M9="MANUAL","MANUAL REVIEW",IF(G9&lt;J9,"BELOW MINIMUM",IF(Y9&lt;0,"NEGATIVE CEO SHARE","OK")))</f>
        <v/>
      </c>
      <c r="AD9" s="12" t="inlineStr">
        <is>
          <t>Target Price Ladder Asterra: Rp100.000 (Saat ini di web Rp31.000; tinjau update live CMS/DB).</t>
        </is>
      </c>
    </row>
    <row r="10" ht="20" customHeight="1">
      <c r="A10" s="5">
        <f>ACTIVE_PRODUCTS_RAW!A10</f>
        <v/>
      </c>
      <c r="B10" s="29">
        <f>ACTIVE_PRODUCTS_RAW!B10</f>
        <v/>
      </c>
      <c r="C10" s="8">
        <f>ACTIVE_PRODUCTS_RAW!D10</f>
        <v/>
      </c>
      <c r="D10" s="8">
        <f>ACTIVE_PRODUCTS_RAW!E10</f>
        <v/>
      </c>
      <c r="E10" s="18">
        <f>ACTIVE_PRODUCTS_RAW!J10</f>
        <v/>
      </c>
      <c r="F10" s="18">
        <f>ACTIVE_PRODUCTS_RAW!K10</f>
        <v/>
      </c>
      <c r="G10" s="18">
        <f>F10-E10</f>
        <v/>
      </c>
      <c r="H10" s="19">
        <f>G10/F10</f>
        <v/>
      </c>
      <c r="I10" s="19">
        <f>G10/E10</f>
        <v/>
      </c>
      <c r="J10" s="18" t="n">
        <v>3000</v>
      </c>
      <c r="K10" s="18">
        <f>E10+J10</f>
        <v/>
      </c>
      <c r="L10" s="31">
        <f>IF(G10&gt;=J10,"MEETS MINIMUM","BELOW MINIMUM")</f>
        <v/>
      </c>
      <c r="M10" s="32" t="inlineStr">
        <is>
          <t>MANUAL</t>
        </is>
      </c>
      <c r="N10" s="19" t="n">
        <v>0.1</v>
      </c>
      <c r="O10" s="19">
        <f>(1-N10)/2</f>
        <v/>
      </c>
      <c r="P10" s="19">
        <f>(1-N10)/2</f>
        <v/>
      </c>
      <c r="Q10" s="18">
        <f>G10*N10</f>
        <v/>
      </c>
      <c r="R10" s="18">
        <f>(G10-Q10)/2</f>
        <v/>
      </c>
      <c r="S10" s="18">
        <f>(G10-Q10)/2</f>
        <v/>
      </c>
      <c r="T10" s="19" t="n">
        <v>0.05</v>
      </c>
      <c r="U10" s="18" t="n">
        <v>5000</v>
      </c>
      <c r="V10" s="18">
        <f>MIN(F10*T10, U10)</f>
        <v/>
      </c>
      <c r="W10" s="18">
        <f>V10*0.5</f>
        <v/>
      </c>
      <c r="X10" s="18">
        <f>V10*0.5</f>
        <v/>
      </c>
      <c r="Y10" s="18">
        <f>R10-W10</f>
        <v/>
      </c>
      <c r="Z10" s="18">
        <f>S10-X10</f>
        <v/>
      </c>
      <c r="AA10" s="18">
        <f>Q10</f>
        <v/>
      </c>
      <c r="AB10" s="18">
        <f>G10-V10</f>
        <v/>
      </c>
      <c r="AC10" s="32">
        <f>IF(M10="MANUAL","MANUAL REVIEW",IF(G10&lt;J10,"BELOW MINIMUM",IF(Y10&lt;0,"NEGATIVE CEO SHARE","OK")))</f>
        <v/>
      </c>
      <c r="AD10" s="8" t="inlineStr">
        <is>
          <t>Paket manual Gemini Pro / Google AI; pertahankan price ladder resmi Asterra.</t>
        </is>
      </c>
    </row>
    <row r="11" ht="20" customHeight="1">
      <c r="A11" s="9">
        <f>ACTIVE_PRODUCTS_RAW!A11</f>
        <v/>
      </c>
      <c r="B11" s="28">
        <f>ACTIVE_PRODUCTS_RAW!B11</f>
        <v/>
      </c>
      <c r="C11" s="12">
        <f>ACTIVE_PRODUCTS_RAW!D11</f>
        <v/>
      </c>
      <c r="D11" s="12">
        <f>ACTIVE_PRODUCTS_RAW!E11</f>
        <v/>
      </c>
      <c r="E11" s="21">
        <f>ACTIVE_PRODUCTS_RAW!J11</f>
        <v/>
      </c>
      <c r="F11" s="21">
        <f>ACTIVE_PRODUCTS_RAW!K11</f>
        <v/>
      </c>
      <c r="G11" s="21">
        <f>F11-E11</f>
        <v/>
      </c>
      <c r="H11" s="22">
        <f>G11/F11</f>
        <v/>
      </c>
      <c r="I11" s="22">
        <f>G11/E11</f>
        <v/>
      </c>
      <c r="J11" s="21" t="n">
        <v>3000</v>
      </c>
      <c r="K11" s="21">
        <f>E11+J11</f>
        <v/>
      </c>
      <c r="L11" s="31">
        <f>IF(G11&gt;=J11,"MEETS MINIMUM","BELOW MINIMUM")</f>
        <v/>
      </c>
      <c r="M11" s="32" t="inlineStr">
        <is>
          <t>MANUAL</t>
        </is>
      </c>
      <c r="N11" s="22" t="n">
        <v>0.1</v>
      </c>
      <c r="O11" s="22">
        <f>(1-N11)/2</f>
        <v/>
      </c>
      <c r="P11" s="22">
        <f>(1-N11)/2</f>
        <v/>
      </c>
      <c r="Q11" s="21">
        <f>G11*N11</f>
        <v/>
      </c>
      <c r="R11" s="21">
        <f>(G11-Q11)/2</f>
        <v/>
      </c>
      <c r="S11" s="21">
        <f>(G11-Q11)/2</f>
        <v/>
      </c>
      <c r="T11" s="22" t="n">
        <v>0.05</v>
      </c>
      <c r="U11" s="21" t="n">
        <v>5000</v>
      </c>
      <c r="V11" s="21">
        <f>MIN(F11*T11, U11)</f>
        <v/>
      </c>
      <c r="W11" s="21">
        <f>V11*0.5</f>
        <v/>
      </c>
      <c r="X11" s="21">
        <f>V11*0.5</f>
        <v/>
      </c>
      <c r="Y11" s="21">
        <f>R11-W11</f>
        <v/>
      </c>
      <c r="Z11" s="21">
        <f>S11-X11</f>
        <v/>
      </c>
      <c r="AA11" s="21">
        <f>Q11</f>
        <v/>
      </c>
      <c r="AB11" s="21">
        <f>G11-V11</f>
        <v/>
      </c>
      <c r="AC11" s="32">
        <f>IF(M11="MANUAL","MANUAL REVIEW",IF(G11&lt;J11,"BELOW MINIMUM",IF(Y11&lt;0,"NEGATIVE CEO SHARE","OK")))</f>
        <v/>
      </c>
      <c r="AD11" s="12" t="inlineStr">
        <is>
          <t>Paket manual Gemini Pro / Google AI; pertahankan price ladder resmi Asterra.</t>
        </is>
      </c>
    </row>
    <row r="12" ht="20" customHeight="1">
      <c r="A12" s="5">
        <f>ACTIVE_PRODUCTS_RAW!A12</f>
        <v/>
      </c>
      <c r="B12" s="29">
        <f>ACTIVE_PRODUCTS_RAW!B12</f>
        <v/>
      </c>
      <c r="C12" s="8">
        <f>ACTIVE_PRODUCTS_RAW!D12</f>
        <v/>
      </c>
      <c r="D12" s="8">
        <f>ACTIVE_PRODUCTS_RAW!E12</f>
        <v/>
      </c>
      <c r="E12" s="18">
        <f>ACTIVE_PRODUCTS_RAW!J12</f>
        <v/>
      </c>
      <c r="F12" s="18">
        <f>ACTIVE_PRODUCTS_RAW!K12</f>
        <v/>
      </c>
      <c r="G12" s="18">
        <f>F12-E12</f>
        <v/>
      </c>
      <c r="H12" s="19">
        <f>G12/F12</f>
        <v/>
      </c>
      <c r="I12" s="19">
        <f>G12/E12</f>
        <v/>
      </c>
      <c r="J12" s="18" t="n">
        <v>3000</v>
      </c>
      <c r="K12" s="18">
        <f>E12+J12</f>
        <v/>
      </c>
      <c r="L12" s="31">
        <f>IF(G12&gt;=J12,"MEETS MINIMUM","BELOW MINIMUM")</f>
        <v/>
      </c>
      <c r="M12" s="32" t="inlineStr">
        <is>
          <t>MANUAL</t>
        </is>
      </c>
      <c r="N12" s="19" t="n">
        <v>0.1</v>
      </c>
      <c r="O12" s="19">
        <f>(1-N12)/2</f>
        <v/>
      </c>
      <c r="P12" s="19">
        <f>(1-N12)/2</f>
        <v/>
      </c>
      <c r="Q12" s="18">
        <f>G12*N12</f>
        <v/>
      </c>
      <c r="R12" s="18">
        <f>(G12-Q12)/2</f>
        <v/>
      </c>
      <c r="S12" s="18">
        <f>(G12-Q12)/2</f>
        <v/>
      </c>
      <c r="T12" s="19" t="n">
        <v>0.05</v>
      </c>
      <c r="U12" s="18" t="n">
        <v>5000</v>
      </c>
      <c r="V12" s="18">
        <f>MIN(F12*T12, U12)</f>
        <v/>
      </c>
      <c r="W12" s="18">
        <f>V12*0.5</f>
        <v/>
      </c>
      <c r="X12" s="18">
        <f>V12*0.5</f>
        <v/>
      </c>
      <c r="Y12" s="18">
        <f>R12-W12</f>
        <v/>
      </c>
      <c r="Z12" s="18">
        <f>S12-X12</f>
        <v/>
      </c>
      <c r="AA12" s="18">
        <f>Q12</f>
        <v/>
      </c>
      <c r="AB12" s="18">
        <f>G12-V12</f>
        <v/>
      </c>
      <c r="AC12" s="32">
        <f>IF(M12="MANUAL","MANUAL REVIEW",IF(G12&lt;J12,"BELOW MINIMUM",IF(Y12&lt;0,"NEGATIVE CEO SHARE","OK")))</f>
        <v/>
      </c>
      <c r="AD12" s="8" t="inlineStr">
        <is>
          <t>Paket manual Gemini Pro / Google AI; pertahankan price ladder resmi Asterra.</t>
        </is>
      </c>
    </row>
    <row r="13" ht="20" customHeight="1">
      <c r="A13" s="9">
        <f>ACTIVE_PRODUCTS_RAW!A13</f>
        <v/>
      </c>
      <c r="B13" s="28">
        <f>ACTIVE_PRODUCTS_RAW!B13</f>
        <v/>
      </c>
      <c r="C13" s="12">
        <f>ACTIVE_PRODUCTS_RAW!D13</f>
        <v/>
      </c>
      <c r="D13" s="12">
        <f>ACTIVE_PRODUCTS_RAW!E13</f>
        <v/>
      </c>
      <c r="E13" s="21">
        <f>ACTIVE_PRODUCTS_RAW!J13</f>
        <v/>
      </c>
      <c r="F13" s="21">
        <f>ACTIVE_PRODUCTS_RAW!K13</f>
        <v/>
      </c>
      <c r="G13" s="21">
        <f>F13-E13</f>
        <v/>
      </c>
      <c r="H13" s="22">
        <f>G13/F13</f>
        <v/>
      </c>
      <c r="I13" s="22">
        <f>G13/E13</f>
        <v/>
      </c>
      <c r="J13" s="21" t="n">
        <v>3000</v>
      </c>
      <c r="K13" s="21">
        <f>E13+J13</f>
        <v/>
      </c>
      <c r="L13" s="31">
        <f>IF(G13&gt;=J13,"MEETS MINIMUM","BELOW MINIMUM")</f>
        <v/>
      </c>
      <c r="M13" s="32" t="inlineStr">
        <is>
          <t>MANUAL</t>
        </is>
      </c>
      <c r="N13" s="22" t="n">
        <v>0.1</v>
      </c>
      <c r="O13" s="22">
        <f>(1-N13)/2</f>
        <v/>
      </c>
      <c r="P13" s="22">
        <f>(1-N13)/2</f>
        <v/>
      </c>
      <c r="Q13" s="21">
        <f>G13*N13</f>
        <v/>
      </c>
      <c r="R13" s="21">
        <f>(G13-Q13)/2</f>
        <v/>
      </c>
      <c r="S13" s="21">
        <f>(G13-Q13)/2</f>
        <v/>
      </c>
      <c r="T13" s="22" t="n">
        <v>0.05</v>
      </c>
      <c r="U13" s="21" t="n">
        <v>5000</v>
      </c>
      <c r="V13" s="21">
        <f>MIN(F13*T13, U13)</f>
        <v/>
      </c>
      <c r="W13" s="21">
        <f>V13*0.5</f>
        <v/>
      </c>
      <c r="X13" s="21">
        <f>V13*0.5</f>
        <v/>
      </c>
      <c r="Y13" s="21">
        <f>R13-W13</f>
        <v/>
      </c>
      <c r="Z13" s="21">
        <f>S13-X13</f>
        <v/>
      </c>
      <c r="AA13" s="21">
        <f>Q13</f>
        <v/>
      </c>
      <c r="AB13" s="21">
        <f>G13-V13</f>
        <v/>
      </c>
      <c r="AC13" s="32">
        <f>IF(M13="MANUAL","MANUAL REVIEW",IF(G13&lt;J13,"BELOW MINIMUM",IF(Y13&lt;0,"NEGATIVE CEO SHARE","OK")))</f>
        <v/>
      </c>
      <c r="AD13" s="12" t="inlineStr">
        <is>
          <t>Paket manual Gemini Pro / Google AI; pertahankan price ladder resmi Asterra.</t>
        </is>
      </c>
    </row>
    <row r="14" ht="20" customHeight="1">
      <c r="A14" s="5">
        <f>ACTIVE_PRODUCTS_RAW!A14</f>
        <v/>
      </c>
      <c r="B14" s="29">
        <f>ACTIVE_PRODUCTS_RAW!B14</f>
        <v/>
      </c>
      <c r="C14" s="8">
        <f>ACTIVE_PRODUCTS_RAW!D14</f>
        <v/>
      </c>
      <c r="D14" s="8">
        <f>ACTIVE_PRODUCTS_RAW!E14</f>
        <v/>
      </c>
      <c r="E14" s="18">
        <f>ACTIVE_PRODUCTS_RAW!J14</f>
        <v/>
      </c>
      <c r="F14" s="18">
        <f>ACTIVE_PRODUCTS_RAW!K14</f>
        <v/>
      </c>
      <c r="G14" s="18">
        <f>F14-E14</f>
        <v/>
      </c>
      <c r="H14" s="19">
        <f>G14/F14</f>
        <v/>
      </c>
      <c r="I14" s="19">
        <f>G14/E14</f>
        <v/>
      </c>
      <c r="J14" s="18" t="n">
        <v>3000</v>
      </c>
      <c r="K14" s="18">
        <f>E14+J14</f>
        <v/>
      </c>
      <c r="L14" s="31">
        <f>IF(G14&gt;=J14,"MEETS MINIMUM","BELOW MINIMUM")</f>
        <v/>
      </c>
      <c r="M14" s="5" t="inlineStr">
        <is>
          <t>STANDARD</t>
        </is>
      </c>
      <c r="N14" s="19" t="n">
        <v>0.1</v>
      </c>
      <c r="O14" s="19">
        <f>(1-N14)/2</f>
        <v/>
      </c>
      <c r="P14" s="19">
        <f>(1-N14)/2</f>
        <v/>
      </c>
      <c r="Q14" s="18">
        <f>G14*N14</f>
        <v/>
      </c>
      <c r="R14" s="18">
        <f>(G14-Q14)/2</f>
        <v/>
      </c>
      <c r="S14" s="18">
        <f>(G14-Q14)/2</f>
        <v/>
      </c>
      <c r="T14" s="19" t="n">
        <v>0.05</v>
      </c>
      <c r="U14" s="18" t="n">
        <v>5000</v>
      </c>
      <c r="V14" s="18">
        <f>MIN(F14*T14, U14)</f>
        <v/>
      </c>
      <c r="W14" s="18">
        <f>V14*0.5</f>
        <v/>
      </c>
      <c r="X14" s="18">
        <f>V14*0.5</f>
        <v/>
      </c>
      <c r="Y14" s="18">
        <f>R14-W14</f>
        <v/>
      </c>
      <c r="Z14" s="18">
        <f>S14-X14</f>
        <v/>
      </c>
      <c r="AA14" s="18">
        <f>Q14</f>
        <v/>
      </c>
      <c r="AB14" s="18">
        <f>G14-V14</f>
        <v/>
      </c>
      <c r="AC14" s="31">
        <f>IF(M14="MANUAL","MANUAL REVIEW",IF(G14&lt;J14,"BELOW MINIMUM",IF(Y14&lt;0,"NEGATIVE CEO SHARE","OK")))</f>
        <v/>
      </c>
      <c r="AD14" s="8" t="inlineStr">
        <is>
          <t>Margin sehat memenuhi target laba minimum Asterra (&gt;= Rp3.000).</t>
        </is>
      </c>
    </row>
    <row r="15" ht="20" customHeight="1">
      <c r="A15" s="9">
        <f>ACTIVE_PRODUCTS_RAW!A15</f>
        <v/>
      </c>
      <c r="B15" s="28">
        <f>ACTIVE_PRODUCTS_RAW!B15</f>
        <v/>
      </c>
      <c r="C15" s="12">
        <f>ACTIVE_PRODUCTS_RAW!D15</f>
        <v/>
      </c>
      <c r="D15" s="12">
        <f>ACTIVE_PRODUCTS_RAW!E15</f>
        <v/>
      </c>
      <c r="E15" s="21">
        <f>ACTIVE_PRODUCTS_RAW!J15</f>
        <v/>
      </c>
      <c r="F15" s="21">
        <f>ACTIVE_PRODUCTS_RAW!K15</f>
        <v/>
      </c>
      <c r="G15" s="21">
        <f>F15-E15</f>
        <v/>
      </c>
      <c r="H15" s="22">
        <f>G15/F15</f>
        <v/>
      </c>
      <c r="I15" s="22">
        <f>G15/E15</f>
        <v/>
      </c>
      <c r="J15" s="21" t="n">
        <v>3000</v>
      </c>
      <c r="K15" s="21">
        <f>E15+J15</f>
        <v/>
      </c>
      <c r="L15" s="31">
        <f>IF(G15&gt;=J15,"MEETS MINIMUM","BELOW MINIMUM")</f>
        <v/>
      </c>
      <c r="M15" s="9" t="inlineStr">
        <is>
          <t>STANDARD</t>
        </is>
      </c>
      <c r="N15" s="22" t="n">
        <v>0.1</v>
      </c>
      <c r="O15" s="22">
        <f>(1-N15)/2</f>
        <v/>
      </c>
      <c r="P15" s="22">
        <f>(1-N15)/2</f>
        <v/>
      </c>
      <c r="Q15" s="21">
        <f>G15*N15</f>
        <v/>
      </c>
      <c r="R15" s="21">
        <f>(G15-Q15)/2</f>
        <v/>
      </c>
      <c r="S15" s="21">
        <f>(G15-Q15)/2</f>
        <v/>
      </c>
      <c r="T15" s="22" t="n">
        <v>0.05</v>
      </c>
      <c r="U15" s="21" t="n">
        <v>5000</v>
      </c>
      <c r="V15" s="21">
        <f>MIN(F15*T15, U15)</f>
        <v/>
      </c>
      <c r="W15" s="21">
        <f>V15*0.5</f>
        <v/>
      </c>
      <c r="X15" s="21">
        <f>V15*0.5</f>
        <v/>
      </c>
      <c r="Y15" s="21">
        <f>R15-W15</f>
        <v/>
      </c>
      <c r="Z15" s="21">
        <f>S15-X15</f>
        <v/>
      </c>
      <c r="AA15" s="21">
        <f>Q15</f>
        <v/>
      </c>
      <c r="AB15" s="21">
        <f>G15-V15</f>
        <v/>
      </c>
      <c r="AC15" s="31">
        <f>IF(M15="MANUAL","MANUAL REVIEW",IF(G15&lt;J15,"BELOW MINIMUM",IF(Y15&lt;0,"NEGATIVE CEO SHARE","OK")))</f>
        <v/>
      </c>
      <c r="AD15" s="12" t="inlineStr">
        <is>
          <t>Margin sehat memenuhi target laba minimum Asterra (&gt;= Rp3.000).</t>
        </is>
      </c>
    </row>
    <row r="16" ht="20" customHeight="1">
      <c r="A16" s="5">
        <f>ACTIVE_PRODUCTS_RAW!A16</f>
        <v/>
      </c>
      <c r="B16" s="29">
        <f>ACTIVE_PRODUCTS_RAW!B16</f>
        <v/>
      </c>
      <c r="C16" s="8">
        <f>ACTIVE_PRODUCTS_RAW!D16</f>
        <v/>
      </c>
      <c r="D16" s="8">
        <f>ACTIVE_PRODUCTS_RAW!E16</f>
        <v/>
      </c>
      <c r="E16" s="18">
        <f>ACTIVE_PRODUCTS_RAW!J16</f>
        <v/>
      </c>
      <c r="F16" s="18">
        <f>ACTIVE_PRODUCTS_RAW!K16</f>
        <v/>
      </c>
      <c r="G16" s="18">
        <f>F16-E16</f>
        <v/>
      </c>
      <c r="H16" s="19">
        <f>G16/F16</f>
        <v/>
      </c>
      <c r="I16" s="19">
        <f>G16/E16</f>
        <v/>
      </c>
      <c r="J16" s="18" t="n">
        <v>3000</v>
      </c>
      <c r="K16" s="18">
        <f>E16+J16</f>
        <v/>
      </c>
      <c r="L16" s="31">
        <f>IF(G16&gt;=J16,"MEETS MINIMUM","BELOW MINIMUM")</f>
        <v/>
      </c>
      <c r="M16" s="5" t="inlineStr">
        <is>
          <t>STANDARD</t>
        </is>
      </c>
      <c r="N16" s="19" t="n">
        <v>0.1</v>
      </c>
      <c r="O16" s="19">
        <f>(1-N16)/2</f>
        <v/>
      </c>
      <c r="P16" s="19">
        <f>(1-N16)/2</f>
        <v/>
      </c>
      <c r="Q16" s="18">
        <f>G16*N16</f>
        <v/>
      </c>
      <c r="R16" s="18">
        <f>(G16-Q16)/2</f>
        <v/>
      </c>
      <c r="S16" s="18">
        <f>(G16-Q16)/2</f>
        <v/>
      </c>
      <c r="T16" s="19" t="n">
        <v>0.05</v>
      </c>
      <c r="U16" s="18" t="n">
        <v>5000</v>
      </c>
      <c r="V16" s="18">
        <f>MIN(F16*T16, U16)</f>
        <v/>
      </c>
      <c r="W16" s="18">
        <f>V16*0.5</f>
        <v/>
      </c>
      <c r="X16" s="18">
        <f>V16*0.5</f>
        <v/>
      </c>
      <c r="Y16" s="18">
        <f>R16-W16</f>
        <v/>
      </c>
      <c r="Z16" s="18">
        <f>S16-X16</f>
        <v/>
      </c>
      <c r="AA16" s="18">
        <f>Q16</f>
        <v/>
      </c>
      <c r="AB16" s="18">
        <f>G16-V16</f>
        <v/>
      </c>
      <c r="AC16" s="31">
        <f>IF(M16="MANUAL","MANUAL REVIEW",IF(G16&lt;J16,"BELOW MINIMUM",IF(Y16&lt;0,"NEGATIVE CEO SHARE","OK")))</f>
        <v/>
      </c>
      <c r="AD16" s="8" t="inlineStr">
        <is>
          <t>Margin sehat memenuhi target laba minimum Asterra (&gt;= Rp3.000).</t>
        </is>
      </c>
    </row>
    <row r="17" ht="20" customHeight="1">
      <c r="A17" s="9">
        <f>ACTIVE_PRODUCTS_RAW!A17</f>
        <v/>
      </c>
      <c r="B17" s="28">
        <f>ACTIVE_PRODUCTS_RAW!B17</f>
        <v/>
      </c>
      <c r="C17" s="12">
        <f>ACTIVE_PRODUCTS_RAW!D17</f>
        <v/>
      </c>
      <c r="D17" s="12">
        <f>ACTIVE_PRODUCTS_RAW!E17</f>
        <v/>
      </c>
      <c r="E17" s="21">
        <f>ACTIVE_PRODUCTS_RAW!J17</f>
        <v/>
      </c>
      <c r="F17" s="21">
        <f>ACTIVE_PRODUCTS_RAW!K17</f>
        <v/>
      </c>
      <c r="G17" s="21">
        <f>F17-E17</f>
        <v/>
      </c>
      <c r="H17" s="22">
        <f>G17/F17</f>
        <v/>
      </c>
      <c r="I17" s="22">
        <f>G17/E17</f>
        <v/>
      </c>
      <c r="J17" s="21" t="n">
        <v>3000</v>
      </c>
      <c r="K17" s="21">
        <f>E17+J17</f>
        <v/>
      </c>
      <c r="L17" s="31">
        <f>IF(G17&gt;=J17,"MEETS MINIMUM","BELOW MINIMUM")</f>
        <v/>
      </c>
      <c r="M17" s="9" t="inlineStr">
        <is>
          <t>STANDARD</t>
        </is>
      </c>
      <c r="N17" s="22" t="n">
        <v>0.1</v>
      </c>
      <c r="O17" s="22">
        <f>(1-N17)/2</f>
        <v/>
      </c>
      <c r="P17" s="22">
        <f>(1-N17)/2</f>
        <v/>
      </c>
      <c r="Q17" s="21">
        <f>G17*N17</f>
        <v/>
      </c>
      <c r="R17" s="21">
        <f>(G17-Q17)/2</f>
        <v/>
      </c>
      <c r="S17" s="21">
        <f>(G17-Q17)/2</f>
        <v/>
      </c>
      <c r="T17" s="22" t="n">
        <v>0.05</v>
      </c>
      <c r="U17" s="21" t="n">
        <v>5000</v>
      </c>
      <c r="V17" s="21">
        <f>MIN(F17*T17, U17)</f>
        <v/>
      </c>
      <c r="W17" s="21">
        <f>V17*0.5</f>
        <v/>
      </c>
      <c r="X17" s="21">
        <f>V17*0.5</f>
        <v/>
      </c>
      <c r="Y17" s="21">
        <f>R17-W17</f>
        <v/>
      </c>
      <c r="Z17" s="21">
        <f>S17-X17</f>
        <v/>
      </c>
      <c r="AA17" s="21">
        <f>Q17</f>
        <v/>
      </c>
      <c r="AB17" s="21">
        <f>G17-V17</f>
        <v/>
      </c>
      <c r="AC17" s="31">
        <f>IF(M17="MANUAL","MANUAL REVIEW",IF(G17&lt;J17,"BELOW MINIMUM",IF(Y17&lt;0,"NEGATIVE CEO SHARE","OK")))</f>
        <v/>
      </c>
      <c r="AD17" s="12" t="inlineStr">
        <is>
          <t>Margin sehat memenuhi target laba minimum Asterra (&gt;= Rp3.000).</t>
        </is>
      </c>
    </row>
    <row r="18" ht="20" customHeight="1">
      <c r="A18" s="5">
        <f>ACTIVE_PRODUCTS_RAW!A18</f>
        <v/>
      </c>
      <c r="B18" s="29">
        <f>ACTIVE_PRODUCTS_RAW!B18</f>
        <v/>
      </c>
      <c r="C18" s="8">
        <f>ACTIVE_PRODUCTS_RAW!D18</f>
        <v/>
      </c>
      <c r="D18" s="8">
        <f>ACTIVE_PRODUCTS_RAW!E18</f>
        <v/>
      </c>
      <c r="E18" s="18">
        <f>ACTIVE_PRODUCTS_RAW!J18</f>
        <v/>
      </c>
      <c r="F18" s="18">
        <f>ACTIVE_PRODUCTS_RAW!K18</f>
        <v/>
      </c>
      <c r="G18" s="18">
        <f>F18-E18</f>
        <v/>
      </c>
      <c r="H18" s="19">
        <f>G18/F18</f>
        <v/>
      </c>
      <c r="I18" s="19">
        <f>G18/E18</f>
        <v/>
      </c>
      <c r="J18" s="18" t="n">
        <v>3000</v>
      </c>
      <c r="K18" s="18">
        <f>E18+J18</f>
        <v/>
      </c>
      <c r="L18" s="33">
        <f>IF(G18&gt;=J18,"MEETS MINIMUM","BELOW MINIMUM")</f>
        <v/>
      </c>
      <c r="M18" s="5" t="inlineStr">
        <is>
          <t>STANDARD</t>
        </is>
      </c>
      <c r="N18" s="19" t="n">
        <v>0.1</v>
      </c>
      <c r="O18" s="19">
        <f>(1-N18)/2</f>
        <v/>
      </c>
      <c r="P18" s="19">
        <f>(1-N18)/2</f>
        <v/>
      </c>
      <c r="Q18" s="18">
        <f>G18*N18</f>
        <v/>
      </c>
      <c r="R18" s="18">
        <f>(G18-Q18)/2</f>
        <v/>
      </c>
      <c r="S18" s="18">
        <f>(G18-Q18)/2</f>
        <v/>
      </c>
      <c r="T18" s="19" t="n">
        <v>0.05</v>
      </c>
      <c r="U18" s="18" t="n">
        <v>5000</v>
      </c>
      <c r="V18" s="18">
        <f>MIN(F18*T18, U18)</f>
        <v/>
      </c>
      <c r="W18" s="18">
        <f>V18*0.5</f>
        <v/>
      </c>
      <c r="X18" s="18">
        <f>V18*0.5</f>
        <v/>
      </c>
      <c r="Y18" s="18">
        <f>R18-W18</f>
        <v/>
      </c>
      <c r="Z18" s="18">
        <f>S18-X18</f>
        <v/>
      </c>
      <c r="AA18" s="18">
        <f>Q18</f>
        <v/>
      </c>
      <c r="AB18" s="18">
        <f>G18-V18</f>
        <v/>
      </c>
      <c r="AC18" s="33">
        <f>IF(M18="MANUAL","MANUAL REVIEW",IF(G18&lt;J18,"BELOW MINIMUM",IF(Y18&lt;0,"NEGATIVE CEO SHARE","OK")))</f>
        <v/>
      </c>
      <c r="AD18" s="8" t="inlineStr">
        <is>
          <t>Margin tipis (&lt; Rp3.000); disarankan naikkan harga jual ke minimal Rp14,500.</t>
        </is>
      </c>
    </row>
    <row r="19" ht="20" customHeight="1">
      <c r="A19" s="9">
        <f>ACTIVE_PRODUCTS_RAW!A19</f>
        <v/>
      </c>
      <c r="B19" s="28">
        <f>ACTIVE_PRODUCTS_RAW!B19</f>
        <v/>
      </c>
      <c r="C19" s="12">
        <f>ACTIVE_PRODUCTS_RAW!D19</f>
        <v/>
      </c>
      <c r="D19" s="12">
        <f>ACTIVE_PRODUCTS_RAW!E19</f>
        <v/>
      </c>
      <c r="E19" s="21">
        <f>ACTIVE_PRODUCTS_RAW!J19</f>
        <v/>
      </c>
      <c r="F19" s="21">
        <f>ACTIVE_PRODUCTS_RAW!K19</f>
        <v/>
      </c>
      <c r="G19" s="21">
        <f>F19-E19</f>
        <v/>
      </c>
      <c r="H19" s="22">
        <f>G19/F19</f>
        <v/>
      </c>
      <c r="I19" s="22">
        <f>G19/E19</f>
        <v/>
      </c>
      <c r="J19" s="21" t="n">
        <v>3000</v>
      </c>
      <c r="K19" s="21">
        <f>E19+J19</f>
        <v/>
      </c>
      <c r="L19" s="31">
        <f>IF(G19&gt;=J19,"MEETS MINIMUM","BELOW MINIMUM")</f>
        <v/>
      </c>
      <c r="M19" s="9" t="inlineStr">
        <is>
          <t>STANDARD</t>
        </is>
      </c>
      <c r="N19" s="22" t="n">
        <v>0.1</v>
      </c>
      <c r="O19" s="22">
        <f>(1-N19)/2</f>
        <v/>
      </c>
      <c r="P19" s="22">
        <f>(1-N19)/2</f>
        <v/>
      </c>
      <c r="Q19" s="21">
        <f>G19*N19</f>
        <v/>
      </c>
      <c r="R19" s="21">
        <f>(G19-Q19)/2</f>
        <v/>
      </c>
      <c r="S19" s="21">
        <f>(G19-Q19)/2</f>
        <v/>
      </c>
      <c r="T19" s="22" t="n">
        <v>0.05</v>
      </c>
      <c r="U19" s="21" t="n">
        <v>5000</v>
      </c>
      <c r="V19" s="21">
        <f>MIN(F19*T19, U19)</f>
        <v/>
      </c>
      <c r="W19" s="21">
        <f>V19*0.5</f>
        <v/>
      </c>
      <c r="X19" s="21">
        <f>V19*0.5</f>
        <v/>
      </c>
      <c r="Y19" s="21">
        <f>R19-W19</f>
        <v/>
      </c>
      <c r="Z19" s="21">
        <f>S19-X19</f>
        <v/>
      </c>
      <c r="AA19" s="21">
        <f>Q19</f>
        <v/>
      </c>
      <c r="AB19" s="21">
        <f>G19-V19</f>
        <v/>
      </c>
      <c r="AC19" s="31">
        <f>IF(M19="MANUAL","MANUAL REVIEW",IF(G19&lt;J19,"BELOW MINIMUM",IF(Y19&lt;0,"NEGATIVE CEO SHARE","OK")))</f>
        <v/>
      </c>
      <c r="AD19" s="12" t="inlineStr">
        <is>
          <t>Margin sehat memenuhi target laba minimum Asterra (&gt;= Rp3.000).</t>
        </is>
      </c>
    </row>
    <row r="20" ht="20" customHeight="1">
      <c r="A20" s="5">
        <f>ACTIVE_PRODUCTS_RAW!A20</f>
        <v/>
      </c>
      <c r="B20" s="29">
        <f>ACTIVE_PRODUCTS_RAW!B20</f>
        <v/>
      </c>
      <c r="C20" s="8">
        <f>ACTIVE_PRODUCTS_RAW!D20</f>
        <v/>
      </c>
      <c r="D20" s="8">
        <f>ACTIVE_PRODUCTS_RAW!E20</f>
        <v/>
      </c>
      <c r="E20" s="18">
        <f>ACTIVE_PRODUCTS_RAW!J20</f>
        <v/>
      </c>
      <c r="F20" s="18">
        <f>ACTIVE_PRODUCTS_RAW!K20</f>
        <v/>
      </c>
      <c r="G20" s="18">
        <f>F20-E20</f>
        <v/>
      </c>
      <c r="H20" s="19">
        <f>G20/F20</f>
        <v/>
      </c>
      <c r="I20" s="19">
        <f>G20/E20</f>
        <v/>
      </c>
      <c r="J20" s="18" t="n">
        <v>3000</v>
      </c>
      <c r="K20" s="18">
        <f>E20+J20</f>
        <v/>
      </c>
      <c r="L20" s="33">
        <f>IF(G20&gt;=J20,"MEETS MINIMUM","BELOW MINIMUM")</f>
        <v/>
      </c>
      <c r="M20" s="5" t="inlineStr">
        <is>
          <t>STANDARD</t>
        </is>
      </c>
      <c r="N20" s="19" t="n">
        <v>0.1</v>
      </c>
      <c r="O20" s="19">
        <f>(1-N20)/2</f>
        <v/>
      </c>
      <c r="P20" s="19">
        <f>(1-N20)/2</f>
        <v/>
      </c>
      <c r="Q20" s="18">
        <f>G20*N20</f>
        <v/>
      </c>
      <c r="R20" s="18">
        <f>(G20-Q20)/2</f>
        <v/>
      </c>
      <c r="S20" s="18">
        <f>(G20-Q20)/2</f>
        <v/>
      </c>
      <c r="T20" s="19" t="n">
        <v>0.05</v>
      </c>
      <c r="U20" s="18" t="n">
        <v>5000</v>
      </c>
      <c r="V20" s="18">
        <f>MIN(F20*T20, U20)</f>
        <v/>
      </c>
      <c r="W20" s="18">
        <f>V20*0.5</f>
        <v/>
      </c>
      <c r="X20" s="18">
        <f>V20*0.5</f>
        <v/>
      </c>
      <c r="Y20" s="18">
        <f>R20-W20</f>
        <v/>
      </c>
      <c r="Z20" s="18">
        <f>S20-X20</f>
        <v/>
      </c>
      <c r="AA20" s="18">
        <f>Q20</f>
        <v/>
      </c>
      <c r="AB20" s="18">
        <f>G20-V20</f>
        <v/>
      </c>
      <c r="AC20" s="33">
        <f>IF(M20="MANUAL","MANUAL REVIEW",IF(G20&lt;J20,"BELOW MINIMUM",IF(Y20&lt;0,"NEGATIVE CEO SHARE","OK")))</f>
        <v/>
      </c>
      <c r="AD20" s="8" t="inlineStr">
        <is>
          <t>Margin tipis (&lt; Rp3.000); disarankan naikkan harga jual ke minimal Rp4,300.</t>
        </is>
      </c>
    </row>
    <row r="21" ht="20" customHeight="1">
      <c r="A21" s="9">
        <f>ACTIVE_PRODUCTS_RAW!A21</f>
        <v/>
      </c>
      <c r="B21" s="28">
        <f>ACTIVE_PRODUCTS_RAW!B21</f>
        <v/>
      </c>
      <c r="C21" s="12">
        <f>ACTIVE_PRODUCTS_RAW!D21</f>
        <v/>
      </c>
      <c r="D21" s="12">
        <f>ACTIVE_PRODUCTS_RAW!E21</f>
        <v/>
      </c>
      <c r="E21" s="21">
        <f>ACTIVE_PRODUCTS_RAW!J21</f>
        <v/>
      </c>
      <c r="F21" s="21">
        <f>ACTIVE_PRODUCTS_RAW!K21</f>
        <v/>
      </c>
      <c r="G21" s="21">
        <f>F21-E21</f>
        <v/>
      </c>
      <c r="H21" s="22">
        <f>G21/F21</f>
        <v/>
      </c>
      <c r="I21" s="22">
        <f>G21/E21</f>
        <v/>
      </c>
      <c r="J21" s="21" t="n">
        <v>3000</v>
      </c>
      <c r="K21" s="21">
        <f>E21+J21</f>
        <v/>
      </c>
      <c r="L21" s="33">
        <f>IF(G21&gt;=J21,"MEETS MINIMUM","BELOW MINIMUM")</f>
        <v/>
      </c>
      <c r="M21" s="9" t="inlineStr">
        <is>
          <t>STANDARD</t>
        </is>
      </c>
      <c r="N21" s="22" t="n">
        <v>0.1</v>
      </c>
      <c r="O21" s="22">
        <f>(1-N21)/2</f>
        <v/>
      </c>
      <c r="P21" s="22">
        <f>(1-N21)/2</f>
        <v/>
      </c>
      <c r="Q21" s="21">
        <f>G21*N21</f>
        <v/>
      </c>
      <c r="R21" s="21">
        <f>(G21-Q21)/2</f>
        <v/>
      </c>
      <c r="S21" s="21">
        <f>(G21-Q21)/2</f>
        <v/>
      </c>
      <c r="T21" s="22" t="n">
        <v>0.05</v>
      </c>
      <c r="U21" s="21" t="n">
        <v>5000</v>
      </c>
      <c r="V21" s="21">
        <f>MIN(F21*T21, U21)</f>
        <v/>
      </c>
      <c r="W21" s="21">
        <f>V21*0.5</f>
        <v/>
      </c>
      <c r="X21" s="21">
        <f>V21*0.5</f>
        <v/>
      </c>
      <c r="Y21" s="21">
        <f>R21-W21</f>
        <v/>
      </c>
      <c r="Z21" s="21">
        <f>S21-X21</f>
        <v/>
      </c>
      <c r="AA21" s="21">
        <f>Q21</f>
        <v/>
      </c>
      <c r="AB21" s="21">
        <f>G21-V21</f>
        <v/>
      </c>
      <c r="AC21" s="33">
        <f>IF(M21="MANUAL","MANUAL REVIEW",IF(G21&lt;J21,"BELOW MINIMUM",IF(Y21&lt;0,"NEGATIVE CEO SHARE","OK")))</f>
        <v/>
      </c>
      <c r="AD21" s="12" t="inlineStr">
        <is>
          <t>Margin tipis (&lt; Rp3.000); disarankan naikkan harga jual ke minimal Rp5,500.</t>
        </is>
      </c>
    </row>
    <row r="22" ht="20" customHeight="1">
      <c r="A22" s="5">
        <f>ACTIVE_PRODUCTS_RAW!A22</f>
        <v/>
      </c>
      <c r="B22" s="29">
        <f>ACTIVE_PRODUCTS_RAW!B22</f>
        <v/>
      </c>
      <c r="C22" s="8">
        <f>ACTIVE_PRODUCTS_RAW!D22</f>
        <v/>
      </c>
      <c r="D22" s="8">
        <f>ACTIVE_PRODUCTS_RAW!E22</f>
        <v/>
      </c>
      <c r="E22" s="18">
        <f>ACTIVE_PRODUCTS_RAW!J22</f>
        <v/>
      </c>
      <c r="F22" s="18">
        <f>ACTIVE_PRODUCTS_RAW!K22</f>
        <v/>
      </c>
      <c r="G22" s="18">
        <f>F22-E22</f>
        <v/>
      </c>
      <c r="H22" s="19">
        <f>G22/F22</f>
        <v/>
      </c>
      <c r="I22" s="19">
        <f>G22/E22</f>
        <v/>
      </c>
      <c r="J22" s="18" t="n">
        <v>3000</v>
      </c>
      <c r="K22" s="18">
        <f>E22+J22</f>
        <v/>
      </c>
      <c r="L22" s="33">
        <f>IF(G22&gt;=J22,"MEETS MINIMUM","BELOW MINIMUM")</f>
        <v/>
      </c>
      <c r="M22" s="5" t="inlineStr">
        <is>
          <t>STANDARD</t>
        </is>
      </c>
      <c r="N22" s="19" t="n">
        <v>0.1</v>
      </c>
      <c r="O22" s="19">
        <f>(1-N22)/2</f>
        <v/>
      </c>
      <c r="P22" s="19">
        <f>(1-N22)/2</f>
        <v/>
      </c>
      <c r="Q22" s="18">
        <f>G22*N22</f>
        <v/>
      </c>
      <c r="R22" s="18">
        <f>(G22-Q22)/2</f>
        <v/>
      </c>
      <c r="S22" s="18">
        <f>(G22-Q22)/2</f>
        <v/>
      </c>
      <c r="T22" s="19" t="n">
        <v>0.05</v>
      </c>
      <c r="U22" s="18" t="n">
        <v>5000</v>
      </c>
      <c r="V22" s="18">
        <f>MIN(F22*T22, U22)</f>
        <v/>
      </c>
      <c r="W22" s="18">
        <f>V22*0.5</f>
        <v/>
      </c>
      <c r="X22" s="18">
        <f>V22*0.5</f>
        <v/>
      </c>
      <c r="Y22" s="18">
        <f>R22-W22</f>
        <v/>
      </c>
      <c r="Z22" s="18">
        <f>S22-X22</f>
        <v/>
      </c>
      <c r="AA22" s="18">
        <f>Q22</f>
        <v/>
      </c>
      <c r="AB22" s="18">
        <f>G22-V22</f>
        <v/>
      </c>
      <c r="AC22" s="33">
        <f>IF(M22="MANUAL","MANUAL REVIEW",IF(G22&lt;J22,"BELOW MINIMUM",IF(Y22&lt;0,"NEGATIVE CEO SHARE","OK")))</f>
        <v/>
      </c>
      <c r="AD22" s="8" t="inlineStr">
        <is>
          <t>Margin tipis (&lt; Rp3.000); disarankan naikkan harga jual ke minimal Rp5,300.</t>
        </is>
      </c>
    </row>
    <row r="23" ht="20" customHeight="1">
      <c r="A23" s="9">
        <f>ACTIVE_PRODUCTS_RAW!A23</f>
        <v/>
      </c>
      <c r="B23" s="28">
        <f>ACTIVE_PRODUCTS_RAW!B23</f>
        <v/>
      </c>
      <c r="C23" s="12">
        <f>ACTIVE_PRODUCTS_RAW!D23</f>
        <v/>
      </c>
      <c r="D23" s="12">
        <f>ACTIVE_PRODUCTS_RAW!E23</f>
        <v/>
      </c>
      <c r="E23" s="21">
        <f>ACTIVE_PRODUCTS_RAW!J23</f>
        <v/>
      </c>
      <c r="F23" s="21">
        <f>ACTIVE_PRODUCTS_RAW!K23</f>
        <v/>
      </c>
      <c r="G23" s="21">
        <f>F23-E23</f>
        <v/>
      </c>
      <c r="H23" s="22">
        <f>G23/F23</f>
        <v/>
      </c>
      <c r="I23" s="22">
        <f>G23/E23</f>
        <v/>
      </c>
      <c r="J23" s="21" t="n">
        <v>3000</v>
      </c>
      <c r="K23" s="21">
        <f>E23+J23</f>
        <v/>
      </c>
      <c r="L23" s="31">
        <f>IF(G23&gt;=J23,"MEETS MINIMUM","BELOW MINIMUM")</f>
        <v/>
      </c>
      <c r="M23" s="9" t="inlineStr">
        <is>
          <t>STANDARD</t>
        </is>
      </c>
      <c r="N23" s="22" t="n">
        <v>0.1</v>
      </c>
      <c r="O23" s="22">
        <f>(1-N23)/2</f>
        <v/>
      </c>
      <c r="P23" s="22">
        <f>(1-N23)/2</f>
        <v/>
      </c>
      <c r="Q23" s="21">
        <f>G23*N23</f>
        <v/>
      </c>
      <c r="R23" s="21">
        <f>(G23-Q23)/2</f>
        <v/>
      </c>
      <c r="S23" s="21">
        <f>(G23-Q23)/2</f>
        <v/>
      </c>
      <c r="T23" s="22" t="n">
        <v>0.05</v>
      </c>
      <c r="U23" s="21" t="n">
        <v>5000</v>
      </c>
      <c r="V23" s="21">
        <f>MIN(F23*T23, U23)</f>
        <v/>
      </c>
      <c r="W23" s="21">
        <f>V23*0.5</f>
        <v/>
      </c>
      <c r="X23" s="21">
        <f>V23*0.5</f>
        <v/>
      </c>
      <c r="Y23" s="21">
        <f>R23-W23</f>
        <v/>
      </c>
      <c r="Z23" s="21">
        <f>S23-X23</f>
        <v/>
      </c>
      <c r="AA23" s="21">
        <f>Q23</f>
        <v/>
      </c>
      <c r="AB23" s="21">
        <f>G23-V23</f>
        <v/>
      </c>
      <c r="AC23" s="31">
        <f>IF(M23="MANUAL","MANUAL REVIEW",IF(G23&lt;J23,"BELOW MINIMUM",IF(Y23&lt;0,"NEGATIVE CEO SHARE","OK")))</f>
        <v/>
      </c>
      <c r="AD23" s="12" t="inlineStr">
        <is>
          <t>Margin sehat memenuhi target laba minimum Asterra (&gt;= Rp3.000).</t>
        </is>
      </c>
    </row>
    <row r="24" ht="20" customHeight="1">
      <c r="A24" s="5">
        <f>ACTIVE_PRODUCTS_RAW!A24</f>
        <v/>
      </c>
      <c r="B24" s="29">
        <f>ACTIVE_PRODUCTS_RAW!B24</f>
        <v/>
      </c>
      <c r="C24" s="8">
        <f>ACTIVE_PRODUCTS_RAW!D24</f>
        <v/>
      </c>
      <c r="D24" s="8">
        <f>ACTIVE_PRODUCTS_RAW!E24</f>
        <v/>
      </c>
      <c r="E24" s="18">
        <f>ACTIVE_PRODUCTS_RAW!J24</f>
        <v/>
      </c>
      <c r="F24" s="18">
        <f>ACTIVE_PRODUCTS_RAW!K24</f>
        <v/>
      </c>
      <c r="G24" s="18">
        <f>F24-E24</f>
        <v/>
      </c>
      <c r="H24" s="19">
        <f>G24/F24</f>
        <v/>
      </c>
      <c r="I24" s="19">
        <f>G24/E24</f>
        <v/>
      </c>
      <c r="J24" s="18" t="n">
        <v>3000</v>
      </c>
      <c r="K24" s="18">
        <f>E24+J24</f>
        <v/>
      </c>
      <c r="L24" s="31">
        <f>IF(G24&gt;=J24,"MEETS MINIMUM","BELOW MINIMUM")</f>
        <v/>
      </c>
      <c r="M24" s="5" t="inlineStr">
        <is>
          <t>STANDARD</t>
        </is>
      </c>
      <c r="N24" s="19" t="n">
        <v>0.1</v>
      </c>
      <c r="O24" s="19">
        <f>(1-N24)/2</f>
        <v/>
      </c>
      <c r="P24" s="19">
        <f>(1-N24)/2</f>
        <v/>
      </c>
      <c r="Q24" s="18">
        <f>G24*N24</f>
        <v/>
      </c>
      <c r="R24" s="18">
        <f>(G24-Q24)/2</f>
        <v/>
      </c>
      <c r="S24" s="18">
        <f>(G24-Q24)/2</f>
        <v/>
      </c>
      <c r="T24" s="19" t="n">
        <v>0.05</v>
      </c>
      <c r="U24" s="18" t="n">
        <v>5000</v>
      </c>
      <c r="V24" s="18">
        <f>MIN(F24*T24, U24)</f>
        <v/>
      </c>
      <c r="W24" s="18">
        <f>V24*0.5</f>
        <v/>
      </c>
      <c r="X24" s="18">
        <f>V24*0.5</f>
        <v/>
      </c>
      <c r="Y24" s="18">
        <f>R24-W24</f>
        <v/>
      </c>
      <c r="Z24" s="18">
        <f>S24-X24</f>
        <v/>
      </c>
      <c r="AA24" s="18">
        <f>Q24</f>
        <v/>
      </c>
      <c r="AB24" s="18">
        <f>G24-V24</f>
        <v/>
      </c>
      <c r="AC24" s="31">
        <f>IF(M24="MANUAL","MANUAL REVIEW",IF(G24&lt;J24,"BELOW MINIMUM",IF(Y24&lt;0,"NEGATIVE CEO SHARE","OK")))</f>
        <v/>
      </c>
      <c r="AD24" s="8" t="inlineStr">
        <is>
          <t>Margin sehat memenuhi target laba minimum Asterra (&gt;= Rp3.000).</t>
        </is>
      </c>
    </row>
    <row r="25" ht="20" customHeight="1">
      <c r="A25" s="9">
        <f>ACTIVE_PRODUCTS_RAW!A25</f>
        <v/>
      </c>
      <c r="B25" s="28">
        <f>ACTIVE_PRODUCTS_RAW!B25</f>
        <v/>
      </c>
      <c r="C25" s="12">
        <f>ACTIVE_PRODUCTS_RAW!D25</f>
        <v/>
      </c>
      <c r="D25" s="12">
        <f>ACTIVE_PRODUCTS_RAW!E25</f>
        <v/>
      </c>
      <c r="E25" s="21">
        <f>ACTIVE_PRODUCTS_RAW!J25</f>
        <v/>
      </c>
      <c r="F25" s="21">
        <f>ACTIVE_PRODUCTS_RAW!K25</f>
        <v/>
      </c>
      <c r="G25" s="21">
        <f>F25-E25</f>
        <v/>
      </c>
      <c r="H25" s="22">
        <f>G25/F25</f>
        <v/>
      </c>
      <c r="I25" s="22">
        <f>G25/E25</f>
        <v/>
      </c>
      <c r="J25" s="21" t="n">
        <v>3000</v>
      </c>
      <c r="K25" s="21">
        <f>E25+J25</f>
        <v/>
      </c>
      <c r="L25" s="31">
        <f>IF(G25&gt;=J25,"MEETS MINIMUM","BELOW MINIMUM")</f>
        <v/>
      </c>
      <c r="M25" s="9" t="inlineStr">
        <is>
          <t>STANDARD</t>
        </is>
      </c>
      <c r="N25" s="22" t="n">
        <v>0.1</v>
      </c>
      <c r="O25" s="22">
        <f>(1-N25)/2</f>
        <v/>
      </c>
      <c r="P25" s="22">
        <f>(1-N25)/2</f>
        <v/>
      </c>
      <c r="Q25" s="21">
        <f>G25*N25</f>
        <v/>
      </c>
      <c r="R25" s="21">
        <f>(G25-Q25)/2</f>
        <v/>
      </c>
      <c r="S25" s="21">
        <f>(G25-Q25)/2</f>
        <v/>
      </c>
      <c r="T25" s="22" t="n">
        <v>0.05</v>
      </c>
      <c r="U25" s="21" t="n">
        <v>5000</v>
      </c>
      <c r="V25" s="21">
        <f>MIN(F25*T25, U25)</f>
        <v/>
      </c>
      <c r="W25" s="21">
        <f>V25*0.5</f>
        <v/>
      </c>
      <c r="X25" s="21">
        <f>V25*0.5</f>
        <v/>
      </c>
      <c r="Y25" s="21">
        <f>R25-W25</f>
        <v/>
      </c>
      <c r="Z25" s="21">
        <f>S25-X25</f>
        <v/>
      </c>
      <c r="AA25" s="21">
        <f>Q25</f>
        <v/>
      </c>
      <c r="AB25" s="21">
        <f>G25-V25</f>
        <v/>
      </c>
      <c r="AC25" s="31">
        <f>IF(M25="MANUAL","MANUAL REVIEW",IF(G25&lt;J25,"BELOW MINIMUM",IF(Y25&lt;0,"NEGATIVE CEO SHARE","OK")))</f>
        <v/>
      </c>
      <c r="AD25" s="12" t="inlineStr">
        <is>
          <t>Margin sehat memenuhi target laba minimum Asterra (&gt;= Rp3.000).</t>
        </is>
      </c>
    </row>
    <row r="26" ht="20" customHeight="1">
      <c r="A26" s="5">
        <f>ACTIVE_PRODUCTS_RAW!A26</f>
        <v/>
      </c>
      <c r="B26" s="29">
        <f>ACTIVE_PRODUCTS_RAW!B26</f>
        <v/>
      </c>
      <c r="C26" s="8">
        <f>ACTIVE_PRODUCTS_RAW!D26</f>
        <v/>
      </c>
      <c r="D26" s="8">
        <f>ACTIVE_PRODUCTS_RAW!E26</f>
        <v/>
      </c>
      <c r="E26" s="18">
        <f>ACTIVE_PRODUCTS_RAW!J26</f>
        <v/>
      </c>
      <c r="F26" s="18">
        <f>ACTIVE_PRODUCTS_RAW!K26</f>
        <v/>
      </c>
      <c r="G26" s="18">
        <f>F26-E26</f>
        <v/>
      </c>
      <c r="H26" s="19">
        <f>G26/F26</f>
        <v/>
      </c>
      <c r="I26" s="19">
        <f>G26/E26</f>
        <v/>
      </c>
      <c r="J26" s="18" t="n">
        <v>3000</v>
      </c>
      <c r="K26" s="18">
        <f>E26+J26</f>
        <v/>
      </c>
      <c r="L26" s="31">
        <f>IF(G26&gt;=J26,"MEETS MINIMUM","BELOW MINIMUM")</f>
        <v/>
      </c>
      <c r="M26" s="5" t="inlineStr">
        <is>
          <t>STANDARD</t>
        </is>
      </c>
      <c r="N26" s="19" t="n">
        <v>0.1</v>
      </c>
      <c r="O26" s="19">
        <f>(1-N26)/2</f>
        <v/>
      </c>
      <c r="P26" s="19">
        <f>(1-N26)/2</f>
        <v/>
      </c>
      <c r="Q26" s="18">
        <f>G26*N26</f>
        <v/>
      </c>
      <c r="R26" s="18">
        <f>(G26-Q26)/2</f>
        <v/>
      </c>
      <c r="S26" s="18">
        <f>(G26-Q26)/2</f>
        <v/>
      </c>
      <c r="T26" s="19" t="n">
        <v>0.05</v>
      </c>
      <c r="U26" s="18" t="n">
        <v>5000</v>
      </c>
      <c r="V26" s="18">
        <f>MIN(F26*T26, U26)</f>
        <v/>
      </c>
      <c r="W26" s="18">
        <f>V26*0.5</f>
        <v/>
      </c>
      <c r="X26" s="18">
        <f>V26*0.5</f>
        <v/>
      </c>
      <c r="Y26" s="18">
        <f>R26-W26</f>
        <v/>
      </c>
      <c r="Z26" s="18">
        <f>S26-X26</f>
        <v/>
      </c>
      <c r="AA26" s="18">
        <f>Q26</f>
        <v/>
      </c>
      <c r="AB26" s="18">
        <f>G26-V26</f>
        <v/>
      </c>
      <c r="AC26" s="31">
        <f>IF(M26="MANUAL","MANUAL REVIEW",IF(G26&lt;J26,"BELOW MINIMUM",IF(Y26&lt;0,"NEGATIVE CEO SHARE","OK")))</f>
        <v/>
      </c>
      <c r="AD26" s="8" t="inlineStr">
        <is>
          <t>Margin sehat memenuhi target laba minimum Asterra (&gt;= Rp3.000).</t>
        </is>
      </c>
    </row>
    <row r="27" ht="20" customHeight="1">
      <c r="A27" s="9">
        <f>ACTIVE_PRODUCTS_RAW!A27</f>
        <v/>
      </c>
      <c r="B27" s="28">
        <f>ACTIVE_PRODUCTS_RAW!B27</f>
        <v/>
      </c>
      <c r="C27" s="12">
        <f>ACTIVE_PRODUCTS_RAW!D27</f>
        <v/>
      </c>
      <c r="D27" s="12">
        <f>ACTIVE_PRODUCTS_RAW!E27</f>
        <v/>
      </c>
      <c r="E27" s="21">
        <f>ACTIVE_PRODUCTS_RAW!J27</f>
        <v/>
      </c>
      <c r="F27" s="21">
        <f>ACTIVE_PRODUCTS_RAW!K27</f>
        <v/>
      </c>
      <c r="G27" s="21">
        <f>F27-E27</f>
        <v/>
      </c>
      <c r="H27" s="22">
        <f>G27/F27</f>
        <v/>
      </c>
      <c r="I27" s="22">
        <f>G27/E27</f>
        <v/>
      </c>
      <c r="J27" s="21" t="n">
        <v>3000</v>
      </c>
      <c r="K27" s="21">
        <f>E27+J27</f>
        <v/>
      </c>
      <c r="L27" s="31">
        <f>IF(G27&gt;=J27,"MEETS MINIMUM","BELOW MINIMUM")</f>
        <v/>
      </c>
      <c r="M27" s="9" t="inlineStr">
        <is>
          <t>STANDARD</t>
        </is>
      </c>
      <c r="N27" s="22" t="n">
        <v>0.1</v>
      </c>
      <c r="O27" s="22">
        <f>(1-N27)/2</f>
        <v/>
      </c>
      <c r="P27" s="22">
        <f>(1-N27)/2</f>
        <v/>
      </c>
      <c r="Q27" s="21">
        <f>G27*N27</f>
        <v/>
      </c>
      <c r="R27" s="21">
        <f>(G27-Q27)/2</f>
        <v/>
      </c>
      <c r="S27" s="21">
        <f>(G27-Q27)/2</f>
        <v/>
      </c>
      <c r="T27" s="22" t="n">
        <v>0.05</v>
      </c>
      <c r="U27" s="21" t="n">
        <v>5000</v>
      </c>
      <c r="V27" s="21">
        <f>MIN(F27*T27, U27)</f>
        <v/>
      </c>
      <c r="W27" s="21">
        <f>V27*0.5</f>
        <v/>
      </c>
      <c r="X27" s="21">
        <f>V27*0.5</f>
        <v/>
      </c>
      <c r="Y27" s="21">
        <f>R27-W27</f>
        <v/>
      </c>
      <c r="Z27" s="21">
        <f>S27-X27</f>
        <v/>
      </c>
      <c r="AA27" s="21">
        <f>Q27</f>
        <v/>
      </c>
      <c r="AB27" s="21">
        <f>G27-V27</f>
        <v/>
      </c>
      <c r="AC27" s="31">
        <f>IF(M27="MANUAL","MANUAL REVIEW",IF(G27&lt;J27,"BELOW MINIMUM",IF(Y27&lt;0,"NEGATIVE CEO SHARE","OK")))</f>
        <v/>
      </c>
      <c r="AD27" s="12" t="inlineStr">
        <is>
          <t>Margin sehat memenuhi target laba minimum Asterra (&gt;= Rp3.000).</t>
        </is>
      </c>
    </row>
    <row r="28" ht="20" customHeight="1">
      <c r="A28" s="5">
        <f>ACTIVE_PRODUCTS_RAW!A28</f>
        <v/>
      </c>
      <c r="B28" s="29">
        <f>ACTIVE_PRODUCTS_RAW!B28</f>
        <v/>
      </c>
      <c r="C28" s="8">
        <f>ACTIVE_PRODUCTS_RAW!D28</f>
        <v/>
      </c>
      <c r="D28" s="8">
        <f>ACTIVE_PRODUCTS_RAW!E28</f>
        <v/>
      </c>
      <c r="E28" s="18">
        <f>ACTIVE_PRODUCTS_RAW!J28</f>
        <v/>
      </c>
      <c r="F28" s="18">
        <f>ACTIVE_PRODUCTS_RAW!K28</f>
        <v/>
      </c>
      <c r="G28" s="18">
        <f>F28-E28</f>
        <v/>
      </c>
      <c r="H28" s="19">
        <f>G28/F28</f>
        <v/>
      </c>
      <c r="I28" s="19">
        <f>G28/E28</f>
        <v/>
      </c>
      <c r="J28" s="18" t="n">
        <v>3000</v>
      </c>
      <c r="K28" s="18">
        <f>E28+J28</f>
        <v/>
      </c>
      <c r="L28" s="31">
        <f>IF(G28&gt;=J28,"MEETS MINIMUM","BELOW MINIMUM")</f>
        <v/>
      </c>
      <c r="M28" s="5" t="inlineStr">
        <is>
          <t>STANDARD</t>
        </is>
      </c>
      <c r="N28" s="19" t="n">
        <v>0.1</v>
      </c>
      <c r="O28" s="19">
        <f>(1-N28)/2</f>
        <v/>
      </c>
      <c r="P28" s="19">
        <f>(1-N28)/2</f>
        <v/>
      </c>
      <c r="Q28" s="18">
        <f>G28*N28</f>
        <v/>
      </c>
      <c r="R28" s="18">
        <f>(G28-Q28)/2</f>
        <v/>
      </c>
      <c r="S28" s="18">
        <f>(G28-Q28)/2</f>
        <v/>
      </c>
      <c r="T28" s="19" t="n">
        <v>0.05</v>
      </c>
      <c r="U28" s="18" t="n">
        <v>5000</v>
      </c>
      <c r="V28" s="18">
        <f>MIN(F28*T28, U28)</f>
        <v/>
      </c>
      <c r="W28" s="18">
        <f>V28*0.5</f>
        <v/>
      </c>
      <c r="X28" s="18">
        <f>V28*0.5</f>
        <v/>
      </c>
      <c r="Y28" s="18">
        <f>R28-W28</f>
        <v/>
      </c>
      <c r="Z28" s="18">
        <f>S28-X28</f>
        <v/>
      </c>
      <c r="AA28" s="18">
        <f>Q28</f>
        <v/>
      </c>
      <c r="AB28" s="18">
        <f>G28-V28</f>
        <v/>
      </c>
      <c r="AC28" s="31">
        <f>IF(M28="MANUAL","MANUAL REVIEW",IF(G28&lt;J28,"BELOW MINIMUM",IF(Y28&lt;0,"NEGATIVE CEO SHARE","OK")))</f>
        <v/>
      </c>
      <c r="AD28" s="8" t="inlineStr">
        <is>
          <t>Margin sehat memenuhi target laba minimum Asterra (&gt;= Rp3.000).</t>
        </is>
      </c>
    </row>
    <row r="29" ht="20" customHeight="1">
      <c r="A29" s="9">
        <f>ACTIVE_PRODUCTS_RAW!A29</f>
        <v/>
      </c>
      <c r="B29" s="28">
        <f>ACTIVE_PRODUCTS_RAW!B29</f>
        <v/>
      </c>
      <c r="C29" s="12">
        <f>ACTIVE_PRODUCTS_RAW!D29</f>
        <v/>
      </c>
      <c r="D29" s="12">
        <f>ACTIVE_PRODUCTS_RAW!E29</f>
        <v/>
      </c>
      <c r="E29" s="21">
        <f>ACTIVE_PRODUCTS_RAW!J29</f>
        <v/>
      </c>
      <c r="F29" s="21">
        <f>ACTIVE_PRODUCTS_RAW!K29</f>
        <v/>
      </c>
      <c r="G29" s="21">
        <f>F29-E29</f>
        <v/>
      </c>
      <c r="H29" s="22">
        <f>G29/F29</f>
        <v/>
      </c>
      <c r="I29" s="22">
        <f>G29/E29</f>
        <v/>
      </c>
      <c r="J29" s="21" t="n">
        <v>3000</v>
      </c>
      <c r="K29" s="21">
        <f>E29+J29</f>
        <v/>
      </c>
      <c r="L29" s="31">
        <f>IF(G29&gt;=J29,"MEETS MINIMUM","BELOW MINIMUM")</f>
        <v/>
      </c>
      <c r="M29" s="9" t="inlineStr">
        <is>
          <t>STANDARD</t>
        </is>
      </c>
      <c r="N29" s="22" t="n">
        <v>0.1</v>
      </c>
      <c r="O29" s="22">
        <f>(1-N29)/2</f>
        <v/>
      </c>
      <c r="P29" s="22">
        <f>(1-N29)/2</f>
        <v/>
      </c>
      <c r="Q29" s="21">
        <f>G29*N29</f>
        <v/>
      </c>
      <c r="R29" s="21">
        <f>(G29-Q29)/2</f>
        <v/>
      </c>
      <c r="S29" s="21">
        <f>(G29-Q29)/2</f>
        <v/>
      </c>
      <c r="T29" s="22" t="n">
        <v>0.05</v>
      </c>
      <c r="U29" s="21" t="n">
        <v>5000</v>
      </c>
      <c r="V29" s="21">
        <f>MIN(F29*T29, U29)</f>
        <v/>
      </c>
      <c r="W29" s="21">
        <f>V29*0.5</f>
        <v/>
      </c>
      <c r="X29" s="21">
        <f>V29*0.5</f>
        <v/>
      </c>
      <c r="Y29" s="21">
        <f>R29-W29</f>
        <v/>
      </c>
      <c r="Z29" s="21">
        <f>S29-X29</f>
        <v/>
      </c>
      <c r="AA29" s="21">
        <f>Q29</f>
        <v/>
      </c>
      <c r="AB29" s="21">
        <f>G29-V29</f>
        <v/>
      </c>
      <c r="AC29" s="31">
        <f>IF(M29="MANUAL","MANUAL REVIEW",IF(G29&lt;J29,"BELOW MINIMUM",IF(Y29&lt;0,"NEGATIVE CEO SHARE","OK")))</f>
        <v/>
      </c>
      <c r="AD29" s="12" t="inlineStr">
        <is>
          <t>Margin sehat memenuhi target laba minimum Asterra (&gt;= Rp3.000).</t>
        </is>
      </c>
    </row>
    <row r="30" ht="20" customHeight="1">
      <c r="A30" s="5">
        <f>ACTIVE_PRODUCTS_RAW!A30</f>
        <v/>
      </c>
      <c r="B30" s="29">
        <f>ACTIVE_PRODUCTS_RAW!B30</f>
        <v/>
      </c>
      <c r="C30" s="8">
        <f>ACTIVE_PRODUCTS_RAW!D30</f>
        <v/>
      </c>
      <c r="D30" s="8">
        <f>ACTIVE_PRODUCTS_RAW!E30</f>
        <v/>
      </c>
      <c r="E30" s="18">
        <f>ACTIVE_PRODUCTS_RAW!J30</f>
        <v/>
      </c>
      <c r="F30" s="18">
        <f>ACTIVE_PRODUCTS_RAW!K30</f>
        <v/>
      </c>
      <c r="G30" s="18">
        <f>F30-E30</f>
        <v/>
      </c>
      <c r="H30" s="19">
        <f>G30/F30</f>
        <v/>
      </c>
      <c r="I30" s="19">
        <f>G30/E30</f>
        <v/>
      </c>
      <c r="J30" s="18" t="n">
        <v>3000</v>
      </c>
      <c r="K30" s="18">
        <f>E30+J30</f>
        <v/>
      </c>
      <c r="L30" s="31">
        <f>IF(G30&gt;=J30,"MEETS MINIMUM","BELOW MINIMUM")</f>
        <v/>
      </c>
      <c r="M30" s="5" t="inlineStr">
        <is>
          <t>STANDARD</t>
        </is>
      </c>
      <c r="N30" s="19" t="n">
        <v>0.1</v>
      </c>
      <c r="O30" s="19">
        <f>(1-N30)/2</f>
        <v/>
      </c>
      <c r="P30" s="19">
        <f>(1-N30)/2</f>
        <v/>
      </c>
      <c r="Q30" s="18">
        <f>G30*N30</f>
        <v/>
      </c>
      <c r="R30" s="18">
        <f>(G30-Q30)/2</f>
        <v/>
      </c>
      <c r="S30" s="18">
        <f>(G30-Q30)/2</f>
        <v/>
      </c>
      <c r="T30" s="19" t="n">
        <v>0.05</v>
      </c>
      <c r="U30" s="18" t="n">
        <v>5000</v>
      </c>
      <c r="V30" s="18">
        <f>MIN(F30*T30, U30)</f>
        <v/>
      </c>
      <c r="W30" s="18">
        <f>V30*0.5</f>
        <v/>
      </c>
      <c r="X30" s="18">
        <f>V30*0.5</f>
        <v/>
      </c>
      <c r="Y30" s="18">
        <f>R30-W30</f>
        <v/>
      </c>
      <c r="Z30" s="18">
        <f>S30-X30</f>
        <v/>
      </c>
      <c r="AA30" s="18">
        <f>Q30</f>
        <v/>
      </c>
      <c r="AB30" s="18">
        <f>G30-V30</f>
        <v/>
      </c>
      <c r="AC30" s="31">
        <f>IF(M30="MANUAL","MANUAL REVIEW",IF(G30&lt;J30,"BELOW MINIMUM",IF(Y30&lt;0,"NEGATIVE CEO SHARE","OK")))</f>
        <v/>
      </c>
      <c r="AD30" s="8" t="inlineStr">
        <is>
          <t>Margin sehat memenuhi target laba minimum Asterra (&gt;= Rp3.000).</t>
        </is>
      </c>
    </row>
    <row r="31" ht="20" customHeight="1">
      <c r="A31" s="9">
        <f>ACTIVE_PRODUCTS_RAW!A31</f>
        <v/>
      </c>
      <c r="B31" s="28">
        <f>ACTIVE_PRODUCTS_RAW!B31</f>
        <v/>
      </c>
      <c r="C31" s="12">
        <f>ACTIVE_PRODUCTS_RAW!D31</f>
        <v/>
      </c>
      <c r="D31" s="12">
        <f>ACTIVE_PRODUCTS_RAW!E31</f>
        <v/>
      </c>
      <c r="E31" s="21">
        <f>ACTIVE_PRODUCTS_RAW!J31</f>
        <v/>
      </c>
      <c r="F31" s="21">
        <f>ACTIVE_PRODUCTS_RAW!K31</f>
        <v/>
      </c>
      <c r="G31" s="21">
        <f>F31-E31</f>
        <v/>
      </c>
      <c r="H31" s="22">
        <f>G31/F31</f>
        <v/>
      </c>
      <c r="I31" s="22">
        <f>G31/E31</f>
        <v/>
      </c>
      <c r="J31" s="21" t="n">
        <v>3000</v>
      </c>
      <c r="K31" s="21">
        <f>E31+J31</f>
        <v/>
      </c>
      <c r="L31" s="31">
        <f>IF(G31&gt;=J31,"MEETS MINIMUM","BELOW MINIMUM")</f>
        <v/>
      </c>
      <c r="M31" s="9" t="inlineStr">
        <is>
          <t>STANDARD</t>
        </is>
      </c>
      <c r="N31" s="22" t="n">
        <v>0.1</v>
      </c>
      <c r="O31" s="22">
        <f>(1-N31)/2</f>
        <v/>
      </c>
      <c r="P31" s="22">
        <f>(1-N31)/2</f>
        <v/>
      </c>
      <c r="Q31" s="21">
        <f>G31*N31</f>
        <v/>
      </c>
      <c r="R31" s="21">
        <f>(G31-Q31)/2</f>
        <v/>
      </c>
      <c r="S31" s="21">
        <f>(G31-Q31)/2</f>
        <v/>
      </c>
      <c r="T31" s="22" t="n">
        <v>0.05</v>
      </c>
      <c r="U31" s="21" t="n">
        <v>5000</v>
      </c>
      <c r="V31" s="21">
        <f>MIN(F31*T31, U31)</f>
        <v/>
      </c>
      <c r="W31" s="21">
        <f>V31*0.5</f>
        <v/>
      </c>
      <c r="X31" s="21">
        <f>V31*0.5</f>
        <v/>
      </c>
      <c r="Y31" s="21">
        <f>R31-W31</f>
        <v/>
      </c>
      <c r="Z31" s="21">
        <f>S31-X31</f>
        <v/>
      </c>
      <c r="AA31" s="21">
        <f>Q31</f>
        <v/>
      </c>
      <c r="AB31" s="21">
        <f>G31-V31</f>
        <v/>
      </c>
      <c r="AC31" s="31">
        <f>IF(M31="MANUAL","MANUAL REVIEW",IF(G31&lt;J31,"BELOW MINIMUM",IF(Y31&lt;0,"NEGATIVE CEO SHARE","OK")))</f>
        <v/>
      </c>
      <c r="AD31" s="12" t="inlineStr">
        <is>
          <t>Margin sehat memenuhi target laba minimum Asterra (&gt;= Rp3.000).</t>
        </is>
      </c>
    </row>
    <row r="32" ht="20" customHeight="1">
      <c r="A32" s="5">
        <f>ACTIVE_PRODUCTS_RAW!A32</f>
        <v/>
      </c>
      <c r="B32" s="29">
        <f>ACTIVE_PRODUCTS_RAW!B32</f>
        <v/>
      </c>
      <c r="C32" s="8">
        <f>ACTIVE_PRODUCTS_RAW!D32</f>
        <v/>
      </c>
      <c r="D32" s="8">
        <f>ACTIVE_PRODUCTS_RAW!E32</f>
        <v/>
      </c>
      <c r="E32" s="18">
        <f>ACTIVE_PRODUCTS_RAW!J32</f>
        <v/>
      </c>
      <c r="F32" s="18">
        <f>ACTIVE_PRODUCTS_RAW!K32</f>
        <v/>
      </c>
      <c r="G32" s="18">
        <f>F32-E32</f>
        <v/>
      </c>
      <c r="H32" s="19">
        <f>G32/F32</f>
        <v/>
      </c>
      <c r="I32" s="19">
        <f>G32/E32</f>
        <v/>
      </c>
      <c r="J32" s="18" t="n">
        <v>3000</v>
      </c>
      <c r="K32" s="18">
        <f>E32+J32</f>
        <v/>
      </c>
      <c r="L32" s="31">
        <f>IF(G32&gt;=J32,"MEETS MINIMUM","BELOW MINIMUM")</f>
        <v/>
      </c>
      <c r="M32" s="5" t="inlineStr">
        <is>
          <t>STANDARD</t>
        </is>
      </c>
      <c r="N32" s="19" t="n">
        <v>0.1</v>
      </c>
      <c r="O32" s="19">
        <f>(1-N32)/2</f>
        <v/>
      </c>
      <c r="P32" s="19">
        <f>(1-N32)/2</f>
        <v/>
      </c>
      <c r="Q32" s="18">
        <f>G32*N32</f>
        <v/>
      </c>
      <c r="R32" s="18">
        <f>(G32-Q32)/2</f>
        <v/>
      </c>
      <c r="S32" s="18">
        <f>(G32-Q32)/2</f>
        <v/>
      </c>
      <c r="T32" s="19" t="n">
        <v>0.05</v>
      </c>
      <c r="U32" s="18" t="n">
        <v>5000</v>
      </c>
      <c r="V32" s="18">
        <f>MIN(F32*T32, U32)</f>
        <v/>
      </c>
      <c r="W32" s="18">
        <f>V32*0.5</f>
        <v/>
      </c>
      <c r="X32" s="18">
        <f>V32*0.5</f>
        <v/>
      </c>
      <c r="Y32" s="18">
        <f>R32-W32</f>
        <v/>
      </c>
      <c r="Z32" s="18">
        <f>S32-X32</f>
        <v/>
      </c>
      <c r="AA32" s="18">
        <f>Q32</f>
        <v/>
      </c>
      <c r="AB32" s="18">
        <f>G32-V32</f>
        <v/>
      </c>
      <c r="AC32" s="31">
        <f>IF(M32="MANUAL","MANUAL REVIEW",IF(G32&lt;J32,"BELOW MINIMUM",IF(Y32&lt;0,"NEGATIVE CEO SHARE","OK")))</f>
        <v/>
      </c>
      <c r="AD32" s="8" t="inlineStr">
        <is>
          <t>Margin sehat memenuhi target laba minimum Asterra (&gt;= Rp3.000).</t>
        </is>
      </c>
    </row>
    <row r="33" ht="20" customHeight="1">
      <c r="A33" s="9">
        <f>ACTIVE_PRODUCTS_RAW!A33</f>
        <v/>
      </c>
      <c r="B33" s="28">
        <f>ACTIVE_PRODUCTS_RAW!B33</f>
        <v/>
      </c>
      <c r="C33" s="12">
        <f>ACTIVE_PRODUCTS_RAW!D33</f>
        <v/>
      </c>
      <c r="D33" s="12">
        <f>ACTIVE_PRODUCTS_RAW!E33</f>
        <v/>
      </c>
      <c r="E33" s="21">
        <f>ACTIVE_PRODUCTS_RAW!J33</f>
        <v/>
      </c>
      <c r="F33" s="21">
        <f>ACTIVE_PRODUCTS_RAW!K33</f>
        <v/>
      </c>
      <c r="G33" s="21">
        <f>F33-E33</f>
        <v/>
      </c>
      <c r="H33" s="22">
        <f>G33/F33</f>
        <v/>
      </c>
      <c r="I33" s="22">
        <f>G33/E33</f>
        <v/>
      </c>
      <c r="J33" s="21" t="n">
        <v>3000</v>
      </c>
      <c r="K33" s="21">
        <f>E33+J33</f>
        <v/>
      </c>
      <c r="L33" s="31">
        <f>IF(G33&gt;=J33,"MEETS MINIMUM","BELOW MINIMUM")</f>
        <v/>
      </c>
      <c r="M33" s="9" t="inlineStr">
        <is>
          <t>STANDARD</t>
        </is>
      </c>
      <c r="N33" s="22" t="n">
        <v>0.1</v>
      </c>
      <c r="O33" s="22">
        <f>(1-N33)/2</f>
        <v/>
      </c>
      <c r="P33" s="22">
        <f>(1-N33)/2</f>
        <v/>
      </c>
      <c r="Q33" s="21">
        <f>G33*N33</f>
        <v/>
      </c>
      <c r="R33" s="21">
        <f>(G33-Q33)/2</f>
        <v/>
      </c>
      <c r="S33" s="21">
        <f>(G33-Q33)/2</f>
        <v/>
      </c>
      <c r="T33" s="22" t="n">
        <v>0.05</v>
      </c>
      <c r="U33" s="21" t="n">
        <v>5000</v>
      </c>
      <c r="V33" s="21">
        <f>MIN(F33*T33, U33)</f>
        <v/>
      </c>
      <c r="W33" s="21">
        <f>V33*0.5</f>
        <v/>
      </c>
      <c r="X33" s="21">
        <f>V33*0.5</f>
        <v/>
      </c>
      <c r="Y33" s="21">
        <f>R33-W33</f>
        <v/>
      </c>
      <c r="Z33" s="21">
        <f>S33-X33</f>
        <v/>
      </c>
      <c r="AA33" s="21">
        <f>Q33</f>
        <v/>
      </c>
      <c r="AB33" s="21">
        <f>G33-V33</f>
        <v/>
      </c>
      <c r="AC33" s="31">
        <f>IF(M33="MANUAL","MANUAL REVIEW",IF(G33&lt;J33,"BELOW MINIMUM",IF(Y33&lt;0,"NEGATIVE CEO SHARE","OK")))</f>
        <v/>
      </c>
      <c r="AD33" s="12" t="inlineStr">
        <is>
          <t>Margin sehat memenuhi target laba minimum Asterra (&gt;= Rp3.000).</t>
        </is>
      </c>
    </row>
    <row r="34" ht="20" customHeight="1">
      <c r="A34" s="5">
        <f>ACTIVE_PRODUCTS_RAW!A34</f>
        <v/>
      </c>
      <c r="B34" s="29">
        <f>ACTIVE_PRODUCTS_RAW!B34</f>
        <v/>
      </c>
      <c r="C34" s="8">
        <f>ACTIVE_PRODUCTS_RAW!D34</f>
        <v/>
      </c>
      <c r="D34" s="8">
        <f>ACTIVE_PRODUCTS_RAW!E34</f>
        <v/>
      </c>
      <c r="E34" s="18">
        <f>ACTIVE_PRODUCTS_RAW!J34</f>
        <v/>
      </c>
      <c r="F34" s="18">
        <f>ACTIVE_PRODUCTS_RAW!K34</f>
        <v/>
      </c>
      <c r="G34" s="18">
        <f>F34-E34</f>
        <v/>
      </c>
      <c r="H34" s="19">
        <f>G34/F34</f>
        <v/>
      </c>
      <c r="I34" s="19">
        <f>G34/E34</f>
        <v/>
      </c>
      <c r="J34" s="18" t="n">
        <v>3000</v>
      </c>
      <c r="K34" s="18">
        <f>E34+J34</f>
        <v/>
      </c>
      <c r="L34" s="33">
        <f>IF(G34&gt;=J34,"MEETS MINIMUM","BELOW MINIMUM")</f>
        <v/>
      </c>
      <c r="M34" s="5" t="inlineStr">
        <is>
          <t>STANDARD</t>
        </is>
      </c>
      <c r="N34" s="19" t="n">
        <v>0.1</v>
      </c>
      <c r="O34" s="19">
        <f>(1-N34)/2</f>
        <v/>
      </c>
      <c r="P34" s="19">
        <f>(1-N34)/2</f>
        <v/>
      </c>
      <c r="Q34" s="18">
        <f>G34*N34</f>
        <v/>
      </c>
      <c r="R34" s="18">
        <f>(G34-Q34)/2</f>
        <v/>
      </c>
      <c r="S34" s="18">
        <f>(G34-Q34)/2</f>
        <v/>
      </c>
      <c r="T34" s="19" t="n">
        <v>0.05</v>
      </c>
      <c r="U34" s="18" t="n">
        <v>5000</v>
      </c>
      <c r="V34" s="18">
        <f>MIN(F34*T34, U34)</f>
        <v/>
      </c>
      <c r="W34" s="18">
        <f>V34*0.5</f>
        <v/>
      </c>
      <c r="X34" s="18">
        <f>V34*0.5</f>
        <v/>
      </c>
      <c r="Y34" s="18">
        <f>R34-W34</f>
        <v/>
      </c>
      <c r="Z34" s="18">
        <f>S34-X34</f>
        <v/>
      </c>
      <c r="AA34" s="18">
        <f>Q34</f>
        <v/>
      </c>
      <c r="AB34" s="18">
        <f>G34-V34</f>
        <v/>
      </c>
      <c r="AC34" s="33">
        <f>IF(M34="MANUAL","MANUAL REVIEW",IF(G34&lt;J34,"BELOW MINIMUM",IF(Y34&lt;0,"NEGATIVE CEO SHARE","OK")))</f>
        <v/>
      </c>
      <c r="AD34" s="8" t="inlineStr">
        <is>
          <t>Margin tipis (&lt; Rp3.000); disarankan naikkan harga jual ke minimal Rp19,500.</t>
        </is>
      </c>
    </row>
    <row r="35" ht="20" customHeight="1">
      <c r="A35" s="9">
        <f>ACTIVE_PRODUCTS_RAW!A35</f>
        <v/>
      </c>
      <c r="B35" s="28">
        <f>ACTIVE_PRODUCTS_RAW!B35</f>
        <v/>
      </c>
      <c r="C35" s="12">
        <f>ACTIVE_PRODUCTS_RAW!D35</f>
        <v/>
      </c>
      <c r="D35" s="12">
        <f>ACTIVE_PRODUCTS_RAW!E35</f>
        <v/>
      </c>
      <c r="E35" s="21">
        <f>ACTIVE_PRODUCTS_RAW!J35</f>
        <v/>
      </c>
      <c r="F35" s="21">
        <f>ACTIVE_PRODUCTS_RAW!K35</f>
        <v/>
      </c>
      <c r="G35" s="21">
        <f>F35-E35</f>
        <v/>
      </c>
      <c r="H35" s="22">
        <f>G35/F35</f>
        <v/>
      </c>
      <c r="I35" s="22">
        <f>G35/E35</f>
        <v/>
      </c>
      <c r="J35" s="21" t="n">
        <v>3000</v>
      </c>
      <c r="K35" s="21">
        <f>E35+J35</f>
        <v/>
      </c>
      <c r="L35" s="31">
        <f>IF(G35&gt;=J35,"MEETS MINIMUM","BELOW MINIMUM")</f>
        <v/>
      </c>
      <c r="M35" s="9" t="inlineStr">
        <is>
          <t>STANDARD</t>
        </is>
      </c>
      <c r="N35" s="22" t="n">
        <v>0.1</v>
      </c>
      <c r="O35" s="22">
        <f>(1-N35)/2</f>
        <v/>
      </c>
      <c r="P35" s="22">
        <f>(1-N35)/2</f>
        <v/>
      </c>
      <c r="Q35" s="21">
        <f>G35*N35</f>
        <v/>
      </c>
      <c r="R35" s="21">
        <f>(G35-Q35)/2</f>
        <v/>
      </c>
      <c r="S35" s="21">
        <f>(G35-Q35)/2</f>
        <v/>
      </c>
      <c r="T35" s="22" t="n">
        <v>0.05</v>
      </c>
      <c r="U35" s="21" t="n">
        <v>5000</v>
      </c>
      <c r="V35" s="21">
        <f>MIN(F35*T35, U35)</f>
        <v/>
      </c>
      <c r="W35" s="21">
        <f>V35*0.5</f>
        <v/>
      </c>
      <c r="X35" s="21">
        <f>V35*0.5</f>
        <v/>
      </c>
      <c r="Y35" s="21">
        <f>R35-W35</f>
        <v/>
      </c>
      <c r="Z35" s="21">
        <f>S35-X35</f>
        <v/>
      </c>
      <c r="AA35" s="21">
        <f>Q35</f>
        <v/>
      </c>
      <c r="AB35" s="21">
        <f>G35-V35</f>
        <v/>
      </c>
      <c r="AC35" s="31">
        <f>IF(M35="MANUAL","MANUAL REVIEW",IF(G35&lt;J35,"BELOW MINIMUM",IF(Y35&lt;0,"NEGATIVE CEO SHARE","OK")))</f>
        <v/>
      </c>
      <c r="AD35" s="12" t="inlineStr">
        <is>
          <t>Margin sehat memenuhi target laba minimum Asterra (&gt;= Rp3.000).</t>
        </is>
      </c>
    </row>
    <row r="36" ht="20" customHeight="1">
      <c r="A36" s="5">
        <f>ACTIVE_PRODUCTS_RAW!A36</f>
        <v/>
      </c>
      <c r="B36" s="29">
        <f>ACTIVE_PRODUCTS_RAW!B36</f>
        <v/>
      </c>
      <c r="C36" s="8">
        <f>ACTIVE_PRODUCTS_RAW!D36</f>
        <v/>
      </c>
      <c r="D36" s="8">
        <f>ACTIVE_PRODUCTS_RAW!E36</f>
        <v/>
      </c>
      <c r="E36" s="18">
        <f>ACTIVE_PRODUCTS_RAW!J36</f>
        <v/>
      </c>
      <c r="F36" s="18">
        <f>ACTIVE_PRODUCTS_RAW!K36</f>
        <v/>
      </c>
      <c r="G36" s="18">
        <f>F36-E36</f>
        <v/>
      </c>
      <c r="H36" s="19">
        <f>G36/F36</f>
        <v/>
      </c>
      <c r="I36" s="19">
        <f>G36/E36</f>
        <v/>
      </c>
      <c r="J36" s="18" t="n">
        <v>3000</v>
      </c>
      <c r="K36" s="18">
        <f>E36+J36</f>
        <v/>
      </c>
      <c r="L36" s="31">
        <f>IF(G36&gt;=J36,"MEETS MINIMUM","BELOW MINIMUM")</f>
        <v/>
      </c>
      <c r="M36" s="5" t="inlineStr">
        <is>
          <t>STANDARD</t>
        </is>
      </c>
      <c r="N36" s="19" t="n">
        <v>0.1</v>
      </c>
      <c r="O36" s="19">
        <f>(1-N36)/2</f>
        <v/>
      </c>
      <c r="P36" s="19">
        <f>(1-N36)/2</f>
        <v/>
      </c>
      <c r="Q36" s="18">
        <f>G36*N36</f>
        <v/>
      </c>
      <c r="R36" s="18">
        <f>(G36-Q36)/2</f>
        <v/>
      </c>
      <c r="S36" s="18">
        <f>(G36-Q36)/2</f>
        <v/>
      </c>
      <c r="T36" s="19" t="n">
        <v>0.05</v>
      </c>
      <c r="U36" s="18" t="n">
        <v>5000</v>
      </c>
      <c r="V36" s="18">
        <f>MIN(F36*T36, U36)</f>
        <v/>
      </c>
      <c r="W36" s="18">
        <f>V36*0.5</f>
        <v/>
      </c>
      <c r="X36" s="18">
        <f>V36*0.5</f>
        <v/>
      </c>
      <c r="Y36" s="18">
        <f>R36-W36</f>
        <v/>
      </c>
      <c r="Z36" s="18">
        <f>S36-X36</f>
        <v/>
      </c>
      <c r="AA36" s="18">
        <f>Q36</f>
        <v/>
      </c>
      <c r="AB36" s="18">
        <f>G36-V36</f>
        <v/>
      </c>
      <c r="AC36" s="31">
        <f>IF(M36="MANUAL","MANUAL REVIEW",IF(G36&lt;J36,"BELOW MINIMUM",IF(Y36&lt;0,"NEGATIVE CEO SHARE","OK")))</f>
        <v/>
      </c>
      <c r="AD36" s="8" t="inlineStr">
        <is>
          <t>Margin sehat memenuhi target laba minimum Asterra (&gt;= Rp3.000).</t>
        </is>
      </c>
    </row>
    <row r="37" ht="20" customHeight="1">
      <c r="A37" s="9">
        <f>ACTIVE_PRODUCTS_RAW!A37</f>
        <v/>
      </c>
      <c r="B37" s="28">
        <f>ACTIVE_PRODUCTS_RAW!B37</f>
        <v/>
      </c>
      <c r="C37" s="12">
        <f>ACTIVE_PRODUCTS_RAW!D37</f>
        <v/>
      </c>
      <c r="D37" s="12">
        <f>ACTIVE_PRODUCTS_RAW!E37</f>
        <v/>
      </c>
      <c r="E37" s="21">
        <f>ACTIVE_PRODUCTS_RAW!J37</f>
        <v/>
      </c>
      <c r="F37" s="21">
        <f>ACTIVE_PRODUCTS_RAW!K37</f>
        <v/>
      </c>
      <c r="G37" s="21">
        <f>F37-E37</f>
        <v/>
      </c>
      <c r="H37" s="22">
        <f>G37/F37</f>
        <v/>
      </c>
      <c r="I37" s="22">
        <f>G37/E37</f>
        <v/>
      </c>
      <c r="J37" s="21" t="n">
        <v>3000</v>
      </c>
      <c r="K37" s="21">
        <f>E37+J37</f>
        <v/>
      </c>
      <c r="L37" s="31">
        <f>IF(G37&gt;=J37,"MEETS MINIMUM","BELOW MINIMUM")</f>
        <v/>
      </c>
      <c r="M37" s="9" t="inlineStr">
        <is>
          <t>STANDARD</t>
        </is>
      </c>
      <c r="N37" s="22" t="n">
        <v>0.1</v>
      </c>
      <c r="O37" s="22">
        <f>(1-N37)/2</f>
        <v/>
      </c>
      <c r="P37" s="22">
        <f>(1-N37)/2</f>
        <v/>
      </c>
      <c r="Q37" s="21">
        <f>G37*N37</f>
        <v/>
      </c>
      <c r="R37" s="21">
        <f>(G37-Q37)/2</f>
        <v/>
      </c>
      <c r="S37" s="21">
        <f>(G37-Q37)/2</f>
        <v/>
      </c>
      <c r="T37" s="22" t="n">
        <v>0.05</v>
      </c>
      <c r="U37" s="21" t="n">
        <v>5000</v>
      </c>
      <c r="V37" s="21">
        <f>MIN(F37*T37, U37)</f>
        <v/>
      </c>
      <c r="W37" s="21">
        <f>V37*0.5</f>
        <v/>
      </c>
      <c r="X37" s="21">
        <f>V37*0.5</f>
        <v/>
      </c>
      <c r="Y37" s="21">
        <f>R37-W37</f>
        <v/>
      </c>
      <c r="Z37" s="21">
        <f>S37-X37</f>
        <v/>
      </c>
      <c r="AA37" s="21">
        <f>Q37</f>
        <v/>
      </c>
      <c r="AB37" s="21">
        <f>G37-V37</f>
        <v/>
      </c>
      <c r="AC37" s="31">
        <f>IF(M37="MANUAL","MANUAL REVIEW",IF(G37&lt;J37,"BELOW MINIMUM",IF(Y37&lt;0,"NEGATIVE CEO SHARE","OK")))</f>
        <v/>
      </c>
      <c r="AD37" s="12" t="inlineStr">
        <is>
          <t>Margin sehat memenuhi target laba minimum Asterra (&gt;= Rp3.000).</t>
        </is>
      </c>
    </row>
    <row r="38" ht="20" customHeight="1">
      <c r="A38" s="5">
        <f>ACTIVE_PRODUCTS_RAW!A38</f>
        <v/>
      </c>
      <c r="B38" s="29">
        <f>ACTIVE_PRODUCTS_RAW!B38</f>
        <v/>
      </c>
      <c r="C38" s="8">
        <f>ACTIVE_PRODUCTS_RAW!D38</f>
        <v/>
      </c>
      <c r="D38" s="8">
        <f>ACTIVE_PRODUCTS_RAW!E38</f>
        <v/>
      </c>
      <c r="E38" s="18">
        <f>ACTIVE_PRODUCTS_RAW!J38</f>
        <v/>
      </c>
      <c r="F38" s="18">
        <f>ACTIVE_PRODUCTS_RAW!K38</f>
        <v/>
      </c>
      <c r="G38" s="18">
        <f>F38-E38</f>
        <v/>
      </c>
      <c r="H38" s="19">
        <f>G38/F38</f>
        <v/>
      </c>
      <c r="I38" s="19">
        <f>G38/E38</f>
        <v/>
      </c>
      <c r="J38" s="18" t="n">
        <v>3000</v>
      </c>
      <c r="K38" s="18">
        <f>E38+J38</f>
        <v/>
      </c>
      <c r="L38" s="31">
        <f>IF(G38&gt;=J38,"MEETS MINIMUM","BELOW MINIMUM")</f>
        <v/>
      </c>
      <c r="M38" s="5" t="inlineStr">
        <is>
          <t>STANDARD</t>
        </is>
      </c>
      <c r="N38" s="19" t="n">
        <v>0.1</v>
      </c>
      <c r="O38" s="19">
        <f>(1-N38)/2</f>
        <v/>
      </c>
      <c r="P38" s="19">
        <f>(1-N38)/2</f>
        <v/>
      </c>
      <c r="Q38" s="18">
        <f>G38*N38</f>
        <v/>
      </c>
      <c r="R38" s="18">
        <f>(G38-Q38)/2</f>
        <v/>
      </c>
      <c r="S38" s="18">
        <f>(G38-Q38)/2</f>
        <v/>
      </c>
      <c r="T38" s="19" t="n">
        <v>0.05</v>
      </c>
      <c r="U38" s="18" t="n">
        <v>5000</v>
      </c>
      <c r="V38" s="18">
        <f>MIN(F38*T38, U38)</f>
        <v/>
      </c>
      <c r="W38" s="18">
        <f>V38*0.5</f>
        <v/>
      </c>
      <c r="X38" s="18">
        <f>V38*0.5</f>
        <v/>
      </c>
      <c r="Y38" s="18">
        <f>R38-W38</f>
        <v/>
      </c>
      <c r="Z38" s="18">
        <f>S38-X38</f>
        <v/>
      </c>
      <c r="AA38" s="18">
        <f>Q38</f>
        <v/>
      </c>
      <c r="AB38" s="18">
        <f>G38-V38</f>
        <v/>
      </c>
      <c r="AC38" s="31">
        <f>IF(M38="MANUAL","MANUAL REVIEW",IF(G38&lt;J38,"BELOW MINIMUM",IF(Y38&lt;0,"NEGATIVE CEO SHARE","OK")))</f>
        <v/>
      </c>
      <c r="AD38" s="8" t="inlineStr">
        <is>
          <t>Margin sehat memenuhi target laba minimum Asterra (&gt;= Rp3.000).</t>
        </is>
      </c>
    </row>
    <row r="39" ht="20" customHeight="1">
      <c r="A39" s="9">
        <f>ACTIVE_PRODUCTS_RAW!A39</f>
        <v/>
      </c>
      <c r="B39" s="28">
        <f>ACTIVE_PRODUCTS_RAW!B39</f>
        <v/>
      </c>
      <c r="C39" s="12">
        <f>ACTIVE_PRODUCTS_RAW!D39</f>
        <v/>
      </c>
      <c r="D39" s="12">
        <f>ACTIVE_PRODUCTS_RAW!E39</f>
        <v/>
      </c>
      <c r="E39" s="21">
        <f>ACTIVE_PRODUCTS_RAW!J39</f>
        <v/>
      </c>
      <c r="F39" s="21">
        <f>ACTIVE_PRODUCTS_RAW!K39</f>
        <v/>
      </c>
      <c r="G39" s="21">
        <f>F39-E39</f>
        <v/>
      </c>
      <c r="H39" s="22">
        <f>G39/F39</f>
        <v/>
      </c>
      <c r="I39" s="22">
        <f>G39/E39</f>
        <v/>
      </c>
      <c r="J39" s="21" t="n">
        <v>3000</v>
      </c>
      <c r="K39" s="21">
        <f>E39+J39</f>
        <v/>
      </c>
      <c r="L39" s="31">
        <f>IF(G39&gt;=J39,"MEETS MINIMUM","BELOW MINIMUM")</f>
        <v/>
      </c>
      <c r="M39" s="9" t="inlineStr">
        <is>
          <t>STANDARD</t>
        </is>
      </c>
      <c r="N39" s="22" t="n">
        <v>0.1</v>
      </c>
      <c r="O39" s="22">
        <f>(1-N39)/2</f>
        <v/>
      </c>
      <c r="P39" s="22">
        <f>(1-N39)/2</f>
        <v/>
      </c>
      <c r="Q39" s="21">
        <f>G39*N39</f>
        <v/>
      </c>
      <c r="R39" s="21">
        <f>(G39-Q39)/2</f>
        <v/>
      </c>
      <c r="S39" s="21">
        <f>(G39-Q39)/2</f>
        <v/>
      </c>
      <c r="T39" s="22" t="n">
        <v>0.05</v>
      </c>
      <c r="U39" s="21" t="n">
        <v>5000</v>
      </c>
      <c r="V39" s="21">
        <f>MIN(F39*T39, U39)</f>
        <v/>
      </c>
      <c r="W39" s="21">
        <f>V39*0.5</f>
        <v/>
      </c>
      <c r="X39" s="21">
        <f>V39*0.5</f>
        <v/>
      </c>
      <c r="Y39" s="21">
        <f>R39-W39</f>
        <v/>
      </c>
      <c r="Z39" s="21">
        <f>S39-X39</f>
        <v/>
      </c>
      <c r="AA39" s="21">
        <f>Q39</f>
        <v/>
      </c>
      <c r="AB39" s="21">
        <f>G39-V39</f>
        <v/>
      </c>
      <c r="AC39" s="31">
        <f>IF(M39="MANUAL","MANUAL REVIEW",IF(G39&lt;J39,"BELOW MINIMUM",IF(Y39&lt;0,"NEGATIVE CEO SHARE","OK")))</f>
        <v/>
      </c>
      <c r="AD39" s="12" t="inlineStr">
        <is>
          <t>Margin sehat memenuhi target laba minimum Asterra (&gt;= Rp3.000).</t>
        </is>
      </c>
    </row>
    <row r="40" ht="20" customHeight="1">
      <c r="A40" s="5">
        <f>ACTIVE_PRODUCTS_RAW!A40</f>
        <v/>
      </c>
      <c r="B40" s="29">
        <f>ACTIVE_PRODUCTS_RAW!B40</f>
        <v/>
      </c>
      <c r="C40" s="8">
        <f>ACTIVE_PRODUCTS_RAW!D40</f>
        <v/>
      </c>
      <c r="D40" s="8">
        <f>ACTIVE_PRODUCTS_RAW!E40</f>
        <v/>
      </c>
      <c r="E40" s="18">
        <f>ACTIVE_PRODUCTS_RAW!J40</f>
        <v/>
      </c>
      <c r="F40" s="18">
        <f>ACTIVE_PRODUCTS_RAW!K40</f>
        <v/>
      </c>
      <c r="G40" s="18">
        <f>F40-E40</f>
        <v/>
      </c>
      <c r="H40" s="19">
        <f>G40/F40</f>
        <v/>
      </c>
      <c r="I40" s="19">
        <f>G40/E40</f>
        <v/>
      </c>
      <c r="J40" s="18" t="n">
        <v>3000</v>
      </c>
      <c r="K40" s="18">
        <f>E40+J40</f>
        <v/>
      </c>
      <c r="L40" s="31">
        <f>IF(G40&gt;=J40,"MEETS MINIMUM","BELOW MINIMUM")</f>
        <v/>
      </c>
      <c r="M40" s="5" t="inlineStr">
        <is>
          <t>STANDARD</t>
        </is>
      </c>
      <c r="N40" s="19" t="n">
        <v>0.1</v>
      </c>
      <c r="O40" s="19">
        <f>(1-N40)/2</f>
        <v/>
      </c>
      <c r="P40" s="19">
        <f>(1-N40)/2</f>
        <v/>
      </c>
      <c r="Q40" s="18">
        <f>G40*N40</f>
        <v/>
      </c>
      <c r="R40" s="18">
        <f>(G40-Q40)/2</f>
        <v/>
      </c>
      <c r="S40" s="18">
        <f>(G40-Q40)/2</f>
        <v/>
      </c>
      <c r="T40" s="19" t="n">
        <v>0.05</v>
      </c>
      <c r="U40" s="18" t="n">
        <v>5000</v>
      </c>
      <c r="V40" s="18">
        <f>MIN(F40*T40, U40)</f>
        <v/>
      </c>
      <c r="W40" s="18">
        <f>V40*0.5</f>
        <v/>
      </c>
      <c r="X40" s="18">
        <f>V40*0.5</f>
        <v/>
      </c>
      <c r="Y40" s="18">
        <f>R40-W40</f>
        <v/>
      </c>
      <c r="Z40" s="18">
        <f>S40-X40</f>
        <v/>
      </c>
      <c r="AA40" s="18">
        <f>Q40</f>
        <v/>
      </c>
      <c r="AB40" s="18">
        <f>G40-V40</f>
        <v/>
      </c>
      <c r="AC40" s="31">
        <f>IF(M40="MANUAL","MANUAL REVIEW",IF(G40&lt;J40,"BELOW MINIMUM",IF(Y40&lt;0,"NEGATIVE CEO SHARE","OK")))</f>
        <v/>
      </c>
      <c r="AD40" s="8" t="inlineStr">
        <is>
          <t>Margin sehat memenuhi target laba minimum Asterra (&gt;= Rp3.000).</t>
        </is>
      </c>
    </row>
    <row r="41" ht="20" customHeight="1">
      <c r="A41" s="9">
        <f>ACTIVE_PRODUCTS_RAW!A41</f>
        <v/>
      </c>
      <c r="B41" s="28">
        <f>ACTIVE_PRODUCTS_RAW!B41</f>
        <v/>
      </c>
      <c r="C41" s="12">
        <f>ACTIVE_PRODUCTS_RAW!D41</f>
        <v/>
      </c>
      <c r="D41" s="12">
        <f>ACTIVE_PRODUCTS_RAW!E41</f>
        <v/>
      </c>
      <c r="E41" s="21">
        <f>ACTIVE_PRODUCTS_RAW!J41</f>
        <v/>
      </c>
      <c r="F41" s="21">
        <f>ACTIVE_PRODUCTS_RAW!K41</f>
        <v/>
      </c>
      <c r="G41" s="21">
        <f>F41-E41</f>
        <v/>
      </c>
      <c r="H41" s="22">
        <f>G41/F41</f>
        <v/>
      </c>
      <c r="I41" s="22">
        <f>G41/E41</f>
        <v/>
      </c>
      <c r="J41" s="21" t="n">
        <v>3000</v>
      </c>
      <c r="K41" s="21">
        <f>E41+J41</f>
        <v/>
      </c>
      <c r="L41" s="31">
        <f>IF(G41&gt;=J41,"MEETS MINIMUM","BELOW MINIMUM")</f>
        <v/>
      </c>
      <c r="M41" s="9" t="inlineStr">
        <is>
          <t>STANDARD</t>
        </is>
      </c>
      <c r="N41" s="22" t="n">
        <v>0.1</v>
      </c>
      <c r="O41" s="22">
        <f>(1-N41)/2</f>
        <v/>
      </c>
      <c r="P41" s="22">
        <f>(1-N41)/2</f>
        <v/>
      </c>
      <c r="Q41" s="21">
        <f>G41*N41</f>
        <v/>
      </c>
      <c r="R41" s="21">
        <f>(G41-Q41)/2</f>
        <v/>
      </c>
      <c r="S41" s="21">
        <f>(G41-Q41)/2</f>
        <v/>
      </c>
      <c r="T41" s="22" t="n">
        <v>0.05</v>
      </c>
      <c r="U41" s="21" t="n">
        <v>5000</v>
      </c>
      <c r="V41" s="21">
        <f>MIN(F41*T41, U41)</f>
        <v/>
      </c>
      <c r="W41" s="21">
        <f>V41*0.5</f>
        <v/>
      </c>
      <c r="X41" s="21">
        <f>V41*0.5</f>
        <v/>
      </c>
      <c r="Y41" s="21">
        <f>R41-W41</f>
        <v/>
      </c>
      <c r="Z41" s="21">
        <f>S41-X41</f>
        <v/>
      </c>
      <c r="AA41" s="21">
        <f>Q41</f>
        <v/>
      </c>
      <c r="AB41" s="21">
        <f>G41-V41</f>
        <v/>
      </c>
      <c r="AC41" s="31">
        <f>IF(M41="MANUAL","MANUAL REVIEW",IF(G41&lt;J41,"BELOW MINIMUM",IF(Y41&lt;0,"NEGATIVE CEO SHARE","OK")))</f>
        <v/>
      </c>
      <c r="AD41" s="12" t="inlineStr">
        <is>
          <t>Margin sehat memenuhi target laba minimum Asterra (&gt;= Rp3.000).</t>
        </is>
      </c>
    </row>
    <row r="42" ht="22" customHeight="1">
      <c r="A42" s="23" t="inlineStr">
        <is>
          <t>RATA-RATA / TOTAL</t>
        </is>
      </c>
      <c r="B42" s="30" t="inlineStr"/>
      <c r="C42" s="30" t="inlineStr"/>
      <c r="D42" s="30" t="inlineStr"/>
      <c r="E42" s="25">
        <f>AVERAGE(E5:E41)</f>
        <v/>
      </c>
      <c r="F42" s="25">
        <f>AVERAGE(F5:F41)</f>
        <v/>
      </c>
      <c r="G42" s="25">
        <f>AVERAGE(G5:G41)</f>
        <v/>
      </c>
      <c r="H42" s="26">
        <f>AVERAGE(H5:H41)</f>
        <v/>
      </c>
      <c r="I42" s="26">
        <f>AVERAGE(I5:I41)</f>
        <v/>
      </c>
      <c r="J42" s="25">
        <f>AVERAGE(J5:J41)</f>
        <v/>
      </c>
      <c r="K42" s="25">
        <f>AVERAGE(K5:K41)</f>
        <v/>
      </c>
      <c r="L42" s="30" t="n"/>
      <c r="M42" s="30" t="n"/>
      <c r="N42" s="30" t="n"/>
      <c r="O42" s="30" t="n"/>
      <c r="P42" s="30" t="n"/>
      <c r="Q42" s="25">
        <f>AVERAGE(Q5:Q41)</f>
        <v/>
      </c>
      <c r="R42" s="25">
        <f>AVERAGE(R5:R41)</f>
        <v/>
      </c>
      <c r="S42" s="25">
        <f>AVERAGE(S5:S41)</f>
        <v/>
      </c>
      <c r="T42" s="30" t="n"/>
      <c r="U42" s="30" t="n"/>
      <c r="V42" s="25">
        <f>AVERAGE(V5:V41)</f>
        <v/>
      </c>
      <c r="W42" s="25">
        <f>AVERAGE(W5:W41)</f>
        <v/>
      </c>
      <c r="X42" s="25">
        <f>AVERAGE(X5:X41)</f>
        <v/>
      </c>
      <c r="Y42" s="25">
        <f>AVERAGE(Y5:Y41)</f>
        <v/>
      </c>
      <c r="Z42" s="25">
        <f>AVERAGE(Z5:Z41)</f>
        <v/>
      </c>
      <c r="AA42" s="25">
        <f>AVERAGE(AA5:AA41)</f>
        <v/>
      </c>
      <c r="AB42" s="25">
        <f>AVERAGE(AB5:AB41)</f>
        <v/>
      </c>
      <c r="AC42" s="30" t="n"/>
      <c r="AD42" s="30" t="n"/>
    </row>
  </sheetData>
  <mergeCells count="2">
    <mergeCell ref="A2:AD2"/>
    <mergeCell ref="A1:A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42"/>
  <sheetViews>
    <sheetView showGridLines="1"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30" customWidth="1" min="16" max="16"/>
    <col width="60" customWidth="1" min="17" max="17"/>
  </cols>
  <sheetData>
    <row r="1" ht="28" customHeight="1">
      <c r="A1" s="1" t="inlineStr">
        <is>
          <t>ASTERRA STORE — SIMULASI KOMISI SALES LENGKAP (10% - 15%)</t>
        </is>
      </c>
    </row>
    <row r="2" ht="18" customHeight="1">
      <c r="A2" s="2" t="inlineStr">
        <is>
          <t>Simulasi Nominal Komisi Sales (10%, 11%, 12%, 13%, 14%, 15% dari Gross Profit) &amp; Sisa Gross Profit untuk CEO/COO | Status Rekomendasi: TBD</t>
        </is>
      </c>
    </row>
    <row r="3"/>
    <row r="4" ht="28" customHeight="1">
      <c r="A4" s="4" t="inlineStr">
        <is>
          <t>No</t>
        </is>
      </c>
      <c r="B4" s="4" t="inlineStr">
        <is>
          <t>Product ID</t>
        </is>
      </c>
      <c r="C4" s="4" t="inlineStr">
        <is>
          <t>Product Name</t>
        </is>
      </c>
      <c r="D4" s="4" t="inlineStr">
        <is>
          <t>Category</t>
        </is>
      </c>
      <c r="E4" s="4" t="inlineStr">
        <is>
          <t>Selling Price</t>
        </is>
      </c>
      <c r="F4" s="4" t="inlineStr">
        <is>
          <t>Cost Price</t>
        </is>
      </c>
      <c r="G4" s="4" t="inlineStr">
        <is>
          <t>Gross Profit</t>
        </is>
      </c>
      <c r="H4" s="4" t="inlineStr">
        <is>
          <t>Sales 10% (Rp)</t>
        </is>
      </c>
      <c r="I4" s="4" t="inlineStr">
        <is>
          <t>Sales 11% (Rp)</t>
        </is>
      </c>
      <c r="J4" s="4" t="inlineStr">
        <is>
          <t>Sales 12% (Rp)</t>
        </is>
      </c>
      <c r="K4" s="4" t="inlineStr">
        <is>
          <t>Sales 13% (Rp)</t>
        </is>
      </c>
      <c r="L4" s="4" t="inlineStr">
        <is>
          <t>Sales 14% (Rp)</t>
        </is>
      </c>
      <c r="M4" s="4" t="inlineStr">
        <is>
          <t>Sales 15% (Rp)</t>
        </is>
      </c>
      <c r="N4" s="4" t="inlineStr">
        <is>
          <t>CEO Share @10%</t>
        </is>
      </c>
      <c r="O4" s="4" t="inlineStr">
        <is>
          <t>CEO Share @15%</t>
        </is>
      </c>
      <c r="P4" s="4" t="inlineStr">
        <is>
          <t>Recommended Sales Commission</t>
        </is>
      </c>
      <c r="Q4" s="4" t="inlineStr">
        <is>
          <t>Notes</t>
        </is>
      </c>
    </row>
    <row r="5" ht="20" customHeight="1">
      <c r="A5" s="9">
        <f>PRICING_ANALYSIS!A5</f>
        <v/>
      </c>
      <c r="B5" s="28">
        <f>PRICING_ANALYSIS!B5</f>
        <v/>
      </c>
      <c r="C5" s="12">
        <f>PRICING_ANALYSIS!C5</f>
        <v/>
      </c>
      <c r="D5" s="12">
        <f>PRICING_ANALYSIS!D5</f>
        <v/>
      </c>
      <c r="E5" s="21">
        <f>PRICING_ANALYSIS!F5</f>
        <v/>
      </c>
      <c r="F5" s="21">
        <f>PRICING_ANALYSIS!E5</f>
        <v/>
      </c>
      <c r="G5" s="21">
        <f>E5-F5</f>
        <v/>
      </c>
      <c r="H5" s="21">
        <f>G5*0.10</f>
        <v/>
      </c>
      <c r="I5" s="21">
        <f>G5*0.11</f>
        <v/>
      </c>
      <c r="J5" s="21">
        <f>G5*0.12</f>
        <v/>
      </c>
      <c r="K5" s="21">
        <f>G5*0.13</f>
        <v/>
      </c>
      <c r="L5" s="21">
        <f>G5*0.14</f>
        <v/>
      </c>
      <c r="M5" s="21">
        <f>G5*0.15</f>
        <v/>
      </c>
      <c r="N5" s="21">
        <f>(G5-H5)/2</f>
        <v/>
      </c>
      <c r="O5" s="21">
        <f>(G5-M5)/2</f>
        <v/>
      </c>
      <c r="P5" s="32" t="inlineStr">
        <is>
          <t>TBD</t>
        </is>
      </c>
      <c r="Q5" s="12" t="inlineStr">
        <is>
          <t>Menunggu penetapan final rate dari manajemen Asterra Store</t>
        </is>
      </c>
    </row>
    <row r="6" ht="20" customHeight="1">
      <c r="A6" s="5">
        <f>PRICING_ANALYSIS!A6</f>
        <v/>
      </c>
      <c r="B6" s="29">
        <f>PRICING_ANALYSIS!B6</f>
        <v/>
      </c>
      <c r="C6" s="8">
        <f>PRICING_ANALYSIS!C6</f>
        <v/>
      </c>
      <c r="D6" s="8">
        <f>PRICING_ANALYSIS!D6</f>
        <v/>
      </c>
      <c r="E6" s="18">
        <f>PRICING_ANALYSIS!F6</f>
        <v/>
      </c>
      <c r="F6" s="18">
        <f>PRICING_ANALYSIS!E6</f>
        <v/>
      </c>
      <c r="G6" s="18">
        <f>E6-F6</f>
        <v/>
      </c>
      <c r="H6" s="18">
        <f>G6*0.10</f>
        <v/>
      </c>
      <c r="I6" s="18">
        <f>G6*0.11</f>
        <v/>
      </c>
      <c r="J6" s="18">
        <f>G6*0.12</f>
        <v/>
      </c>
      <c r="K6" s="18">
        <f>G6*0.13</f>
        <v/>
      </c>
      <c r="L6" s="18">
        <f>G6*0.14</f>
        <v/>
      </c>
      <c r="M6" s="18">
        <f>G6*0.15</f>
        <v/>
      </c>
      <c r="N6" s="18">
        <f>(G6-H6)/2</f>
        <v/>
      </c>
      <c r="O6" s="18">
        <f>(G6-M6)/2</f>
        <v/>
      </c>
      <c r="P6" s="32" t="inlineStr">
        <is>
          <t>TBD</t>
        </is>
      </c>
      <c r="Q6" s="8" t="inlineStr">
        <is>
          <t>Menunggu penetapan final rate dari manajemen Asterra Store</t>
        </is>
      </c>
    </row>
    <row r="7" ht="20" customHeight="1">
      <c r="A7" s="9">
        <f>PRICING_ANALYSIS!A7</f>
        <v/>
      </c>
      <c r="B7" s="28">
        <f>PRICING_ANALYSIS!B7</f>
        <v/>
      </c>
      <c r="C7" s="12">
        <f>PRICING_ANALYSIS!C7</f>
        <v/>
      </c>
      <c r="D7" s="12">
        <f>PRICING_ANALYSIS!D7</f>
        <v/>
      </c>
      <c r="E7" s="21">
        <f>PRICING_ANALYSIS!F7</f>
        <v/>
      </c>
      <c r="F7" s="21">
        <f>PRICING_ANALYSIS!E7</f>
        <v/>
      </c>
      <c r="G7" s="21">
        <f>E7-F7</f>
        <v/>
      </c>
      <c r="H7" s="21">
        <f>G7*0.10</f>
        <v/>
      </c>
      <c r="I7" s="21">
        <f>G7*0.11</f>
        <v/>
      </c>
      <c r="J7" s="21">
        <f>G7*0.12</f>
        <v/>
      </c>
      <c r="K7" s="21">
        <f>G7*0.13</f>
        <v/>
      </c>
      <c r="L7" s="21">
        <f>G7*0.14</f>
        <v/>
      </c>
      <c r="M7" s="21">
        <f>G7*0.15</f>
        <v/>
      </c>
      <c r="N7" s="21">
        <f>(G7-H7)/2</f>
        <v/>
      </c>
      <c r="O7" s="21">
        <f>(G7-M7)/2</f>
        <v/>
      </c>
      <c r="P7" s="32" t="inlineStr">
        <is>
          <t>TBD</t>
        </is>
      </c>
      <c r="Q7" s="12" t="inlineStr">
        <is>
          <t>Menunggu penetapan final rate dari manajemen Asterra Store</t>
        </is>
      </c>
    </row>
    <row r="8" ht="20" customHeight="1">
      <c r="A8" s="5">
        <f>PRICING_ANALYSIS!A8</f>
        <v/>
      </c>
      <c r="B8" s="29">
        <f>PRICING_ANALYSIS!B8</f>
        <v/>
      </c>
      <c r="C8" s="8">
        <f>PRICING_ANALYSIS!C8</f>
        <v/>
      </c>
      <c r="D8" s="8">
        <f>PRICING_ANALYSIS!D8</f>
        <v/>
      </c>
      <c r="E8" s="18">
        <f>PRICING_ANALYSIS!F8</f>
        <v/>
      </c>
      <c r="F8" s="18">
        <f>PRICING_ANALYSIS!E8</f>
        <v/>
      </c>
      <c r="G8" s="18">
        <f>E8-F8</f>
        <v/>
      </c>
      <c r="H8" s="18">
        <f>G8*0.10</f>
        <v/>
      </c>
      <c r="I8" s="18">
        <f>G8*0.11</f>
        <v/>
      </c>
      <c r="J8" s="18">
        <f>G8*0.12</f>
        <v/>
      </c>
      <c r="K8" s="18">
        <f>G8*0.13</f>
        <v/>
      </c>
      <c r="L8" s="18">
        <f>G8*0.14</f>
        <v/>
      </c>
      <c r="M8" s="18">
        <f>G8*0.15</f>
        <v/>
      </c>
      <c r="N8" s="18">
        <f>(G8-H8)/2</f>
        <v/>
      </c>
      <c r="O8" s="18">
        <f>(G8-M8)/2</f>
        <v/>
      </c>
      <c r="P8" s="32" t="inlineStr">
        <is>
          <t>TBD</t>
        </is>
      </c>
      <c r="Q8" s="8" t="inlineStr">
        <is>
          <t>Menunggu penetapan final rate dari manajemen Asterra Store</t>
        </is>
      </c>
    </row>
    <row r="9" ht="20" customHeight="1">
      <c r="A9" s="9">
        <f>PRICING_ANALYSIS!A9</f>
        <v/>
      </c>
      <c r="B9" s="28">
        <f>PRICING_ANALYSIS!B9</f>
        <v/>
      </c>
      <c r="C9" s="12">
        <f>PRICING_ANALYSIS!C9</f>
        <v/>
      </c>
      <c r="D9" s="12">
        <f>PRICING_ANALYSIS!D9</f>
        <v/>
      </c>
      <c r="E9" s="21">
        <f>PRICING_ANALYSIS!F9</f>
        <v/>
      </c>
      <c r="F9" s="21">
        <f>PRICING_ANALYSIS!E9</f>
        <v/>
      </c>
      <c r="G9" s="21">
        <f>E9-F9</f>
        <v/>
      </c>
      <c r="H9" s="21">
        <f>G9*0.10</f>
        <v/>
      </c>
      <c r="I9" s="21">
        <f>G9*0.11</f>
        <v/>
      </c>
      <c r="J9" s="21">
        <f>G9*0.12</f>
        <v/>
      </c>
      <c r="K9" s="21">
        <f>G9*0.13</f>
        <v/>
      </c>
      <c r="L9" s="21">
        <f>G9*0.14</f>
        <v/>
      </c>
      <c r="M9" s="21">
        <f>G9*0.15</f>
        <v/>
      </c>
      <c r="N9" s="21">
        <f>(G9-H9)/2</f>
        <v/>
      </c>
      <c r="O9" s="21">
        <f>(G9-M9)/2</f>
        <v/>
      </c>
      <c r="P9" s="32" t="inlineStr">
        <is>
          <t>TBD</t>
        </is>
      </c>
      <c r="Q9" s="12" t="inlineStr">
        <is>
          <t>Menunggu penetapan final rate dari manajemen Asterra Store</t>
        </is>
      </c>
    </row>
    <row r="10" ht="20" customHeight="1">
      <c r="A10" s="5">
        <f>PRICING_ANALYSIS!A10</f>
        <v/>
      </c>
      <c r="B10" s="29">
        <f>PRICING_ANALYSIS!B10</f>
        <v/>
      </c>
      <c r="C10" s="8">
        <f>PRICING_ANALYSIS!C10</f>
        <v/>
      </c>
      <c r="D10" s="8">
        <f>PRICING_ANALYSIS!D10</f>
        <v/>
      </c>
      <c r="E10" s="18">
        <f>PRICING_ANALYSIS!F10</f>
        <v/>
      </c>
      <c r="F10" s="18">
        <f>PRICING_ANALYSIS!E10</f>
        <v/>
      </c>
      <c r="G10" s="18">
        <f>E10-F10</f>
        <v/>
      </c>
      <c r="H10" s="18">
        <f>G10*0.10</f>
        <v/>
      </c>
      <c r="I10" s="18">
        <f>G10*0.11</f>
        <v/>
      </c>
      <c r="J10" s="18">
        <f>G10*0.12</f>
        <v/>
      </c>
      <c r="K10" s="18">
        <f>G10*0.13</f>
        <v/>
      </c>
      <c r="L10" s="18">
        <f>G10*0.14</f>
        <v/>
      </c>
      <c r="M10" s="18">
        <f>G10*0.15</f>
        <v/>
      </c>
      <c r="N10" s="18">
        <f>(G10-H10)/2</f>
        <v/>
      </c>
      <c r="O10" s="18">
        <f>(G10-M10)/2</f>
        <v/>
      </c>
      <c r="P10" s="32" t="inlineStr">
        <is>
          <t>TBD</t>
        </is>
      </c>
      <c r="Q10" s="8" t="inlineStr">
        <is>
          <t>Menunggu penetapan final rate dari manajemen Asterra Store</t>
        </is>
      </c>
    </row>
    <row r="11" ht="20" customHeight="1">
      <c r="A11" s="9">
        <f>PRICING_ANALYSIS!A11</f>
        <v/>
      </c>
      <c r="B11" s="28">
        <f>PRICING_ANALYSIS!B11</f>
        <v/>
      </c>
      <c r="C11" s="12">
        <f>PRICING_ANALYSIS!C11</f>
        <v/>
      </c>
      <c r="D11" s="12">
        <f>PRICING_ANALYSIS!D11</f>
        <v/>
      </c>
      <c r="E11" s="21">
        <f>PRICING_ANALYSIS!F11</f>
        <v/>
      </c>
      <c r="F11" s="21">
        <f>PRICING_ANALYSIS!E11</f>
        <v/>
      </c>
      <c r="G11" s="21">
        <f>E11-F11</f>
        <v/>
      </c>
      <c r="H11" s="21">
        <f>G11*0.10</f>
        <v/>
      </c>
      <c r="I11" s="21">
        <f>G11*0.11</f>
        <v/>
      </c>
      <c r="J11" s="21">
        <f>G11*0.12</f>
        <v/>
      </c>
      <c r="K11" s="21">
        <f>G11*0.13</f>
        <v/>
      </c>
      <c r="L11" s="21">
        <f>G11*0.14</f>
        <v/>
      </c>
      <c r="M11" s="21">
        <f>G11*0.15</f>
        <v/>
      </c>
      <c r="N11" s="21">
        <f>(G11-H11)/2</f>
        <v/>
      </c>
      <c r="O11" s="21">
        <f>(G11-M11)/2</f>
        <v/>
      </c>
      <c r="P11" s="32" t="inlineStr">
        <is>
          <t>TBD</t>
        </is>
      </c>
      <c r="Q11" s="12" t="inlineStr">
        <is>
          <t>Menunggu penetapan final rate dari manajemen Asterra Store</t>
        </is>
      </c>
    </row>
    <row r="12" ht="20" customHeight="1">
      <c r="A12" s="5">
        <f>PRICING_ANALYSIS!A12</f>
        <v/>
      </c>
      <c r="B12" s="29">
        <f>PRICING_ANALYSIS!B12</f>
        <v/>
      </c>
      <c r="C12" s="8">
        <f>PRICING_ANALYSIS!C12</f>
        <v/>
      </c>
      <c r="D12" s="8">
        <f>PRICING_ANALYSIS!D12</f>
        <v/>
      </c>
      <c r="E12" s="18">
        <f>PRICING_ANALYSIS!F12</f>
        <v/>
      </c>
      <c r="F12" s="18">
        <f>PRICING_ANALYSIS!E12</f>
        <v/>
      </c>
      <c r="G12" s="18">
        <f>E12-F12</f>
        <v/>
      </c>
      <c r="H12" s="18">
        <f>G12*0.10</f>
        <v/>
      </c>
      <c r="I12" s="18">
        <f>G12*0.11</f>
        <v/>
      </c>
      <c r="J12" s="18">
        <f>G12*0.12</f>
        <v/>
      </c>
      <c r="K12" s="18">
        <f>G12*0.13</f>
        <v/>
      </c>
      <c r="L12" s="18">
        <f>G12*0.14</f>
        <v/>
      </c>
      <c r="M12" s="18">
        <f>G12*0.15</f>
        <v/>
      </c>
      <c r="N12" s="18">
        <f>(G12-H12)/2</f>
        <v/>
      </c>
      <c r="O12" s="18">
        <f>(G12-M12)/2</f>
        <v/>
      </c>
      <c r="P12" s="32" t="inlineStr">
        <is>
          <t>TBD</t>
        </is>
      </c>
      <c r="Q12" s="8" t="inlineStr">
        <is>
          <t>Menunggu penetapan final rate dari manajemen Asterra Store</t>
        </is>
      </c>
    </row>
    <row r="13" ht="20" customHeight="1">
      <c r="A13" s="9">
        <f>PRICING_ANALYSIS!A13</f>
        <v/>
      </c>
      <c r="B13" s="28">
        <f>PRICING_ANALYSIS!B13</f>
        <v/>
      </c>
      <c r="C13" s="12">
        <f>PRICING_ANALYSIS!C13</f>
        <v/>
      </c>
      <c r="D13" s="12">
        <f>PRICING_ANALYSIS!D13</f>
        <v/>
      </c>
      <c r="E13" s="21">
        <f>PRICING_ANALYSIS!F13</f>
        <v/>
      </c>
      <c r="F13" s="21">
        <f>PRICING_ANALYSIS!E13</f>
        <v/>
      </c>
      <c r="G13" s="21">
        <f>E13-F13</f>
        <v/>
      </c>
      <c r="H13" s="21">
        <f>G13*0.10</f>
        <v/>
      </c>
      <c r="I13" s="21">
        <f>G13*0.11</f>
        <v/>
      </c>
      <c r="J13" s="21">
        <f>G13*0.12</f>
        <v/>
      </c>
      <c r="K13" s="21">
        <f>G13*0.13</f>
        <v/>
      </c>
      <c r="L13" s="21">
        <f>G13*0.14</f>
        <v/>
      </c>
      <c r="M13" s="21">
        <f>G13*0.15</f>
        <v/>
      </c>
      <c r="N13" s="21">
        <f>(G13-H13)/2</f>
        <v/>
      </c>
      <c r="O13" s="21">
        <f>(G13-M13)/2</f>
        <v/>
      </c>
      <c r="P13" s="32" t="inlineStr">
        <is>
          <t>TBD</t>
        </is>
      </c>
      <c r="Q13" s="12" t="inlineStr">
        <is>
          <t>Menunggu penetapan final rate dari manajemen Asterra Store</t>
        </is>
      </c>
    </row>
    <row r="14" ht="20" customHeight="1">
      <c r="A14" s="5">
        <f>PRICING_ANALYSIS!A14</f>
        <v/>
      </c>
      <c r="B14" s="29">
        <f>PRICING_ANALYSIS!B14</f>
        <v/>
      </c>
      <c r="C14" s="8">
        <f>PRICING_ANALYSIS!C14</f>
        <v/>
      </c>
      <c r="D14" s="8">
        <f>PRICING_ANALYSIS!D14</f>
        <v/>
      </c>
      <c r="E14" s="18">
        <f>PRICING_ANALYSIS!F14</f>
        <v/>
      </c>
      <c r="F14" s="18">
        <f>PRICING_ANALYSIS!E14</f>
        <v/>
      </c>
      <c r="G14" s="18">
        <f>E14-F14</f>
        <v/>
      </c>
      <c r="H14" s="18">
        <f>G14*0.10</f>
        <v/>
      </c>
      <c r="I14" s="18">
        <f>G14*0.11</f>
        <v/>
      </c>
      <c r="J14" s="18">
        <f>G14*0.12</f>
        <v/>
      </c>
      <c r="K14" s="18">
        <f>G14*0.13</f>
        <v/>
      </c>
      <c r="L14" s="18">
        <f>G14*0.14</f>
        <v/>
      </c>
      <c r="M14" s="18">
        <f>G14*0.15</f>
        <v/>
      </c>
      <c r="N14" s="18">
        <f>(G14-H14)/2</f>
        <v/>
      </c>
      <c r="O14" s="18">
        <f>(G14-M14)/2</f>
        <v/>
      </c>
      <c r="P14" s="32" t="inlineStr">
        <is>
          <t>TBD</t>
        </is>
      </c>
      <c r="Q14" s="8" t="inlineStr">
        <is>
          <t>Menunggu penetapan final rate dari manajemen Asterra Store</t>
        </is>
      </c>
    </row>
    <row r="15" ht="20" customHeight="1">
      <c r="A15" s="9">
        <f>PRICING_ANALYSIS!A15</f>
        <v/>
      </c>
      <c r="B15" s="28">
        <f>PRICING_ANALYSIS!B15</f>
        <v/>
      </c>
      <c r="C15" s="12">
        <f>PRICING_ANALYSIS!C15</f>
        <v/>
      </c>
      <c r="D15" s="12">
        <f>PRICING_ANALYSIS!D15</f>
        <v/>
      </c>
      <c r="E15" s="21">
        <f>PRICING_ANALYSIS!F15</f>
        <v/>
      </c>
      <c r="F15" s="21">
        <f>PRICING_ANALYSIS!E15</f>
        <v/>
      </c>
      <c r="G15" s="21">
        <f>E15-F15</f>
        <v/>
      </c>
      <c r="H15" s="21">
        <f>G15*0.10</f>
        <v/>
      </c>
      <c r="I15" s="21">
        <f>G15*0.11</f>
        <v/>
      </c>
      <c r="J15" s="21">
        <f>G15*0.12</f>
        <v/>
      </c>
      <c r="K15" s="21">
        <f>G15*0.13</f>
        <v/>
      </c>
      <c r="L15" s="21">
        <f>G15*0.14</f>
        <v/>
      </c>
      <c r="M15" s="21">
        <f>G15*0.15</f>
        <v/>
      </c>
      <c r="N15" s="21">
        <f>(G15-H15)/2</f>
        <v/>
      </c>
      <c r="O15" s="21">
        <f>(G15-M15)/2</f>
        <v/>
      </c>
      <c r="P15" s="32" t="inlineStr">
        <is>
          <t>TBD</t>
        </is>
      </c>
      <c r="Q15" s="12" t="inlineStr">
        <is>
          <t>Menunggu penetapan final rate dari manajemen Asterra Store</t>
        </is>
      </c>
    </row>
    <row r="16" ht="20" customHeight="1">
      <c r="A16" s="5">
        <f>PRICING_ANALYSIS!A16</f>
        <v/>
      </c>
      <c r="B16" s="29">
        <f>PRICING_ANALYSIS!B16</f>
        <v/>
      </c>
      <c r="C16" s="8">
        <f>PRICING_ANALYSIS!C16</f>
        <v/>
      </c>
      <c r="D16" s="8">
        <f>PRICING_ANALYSIS!D16</f>
        <v/>
      </c>
      <c r="E16" s="18">
        <f>PRICING_ANALYSIS!F16</f>
        <v/>
      </c>
      <c r="F16" s="18">
        <f>PRICING_ANALYSIS!E16</f>
        <v/>
      </c>
      <c r="G16" s="18">
        <f>E16-F16</f>
        <v/>
      </c>
      <c r="H16" s="18">
        <f>G16*0.10</f>
        <v/>
      </c>
      <c r="I16" s="18">
        <f>G16*0.11</f>
        <v/>
      </c>
      <c r="J16" s="18">
        <f>G16*0.12</f>
        <v/>
      </c>
      <c r="K16" s="18">
        <f>G16*0.13</f>
        <v/>
      </c>
      <c r="L16" s="18">
        <f>G16*0.14</f>
        <v/>
      </c>
      <c r="M16" s="18">
        <f>G16*0.15</f>
        <v/>
      </c>
      <c r="N16" s="18">
        <f>(G16-H16)/2</f>
        <v/>
      </c>
      <c r="O16" s="18">
        <f>(G16-M16)/2</f>
        <v/>
      </c>
      <c r="P16" s="32" t="inlineStr">
        <is>
          <t>TBD</t>
        </is>
      </c>
      <c r="Q16" s="8" t="inlineStr">
        <is>
          <t>Menunggu penetapan final rate dari manajemen Asterra Store</t>
        </is>
      </c>
    </row>
    <row r="17" ht="20" customHeight="1">
      <c r="A17" s="9">
        <f>PRICING_ANALYSIS!A17</f>
        <v/>
      </c>
      <c r="B17" s="28">
        <f>PRICING_ANALYSIS!B17</f>
        <v/>
      </c>
      <c r="C17" s="12">
        <f>PRICING_ANALYSIS!C17</f>
        <v/>
      </c>
      <c r="D17" s="12">
        <f>PRICING_ANALYSIS!D17</f>
        <v/>
      </c>
      <c r="E17" s="21">
        <f>PRICING_ANALYSIS!F17</f>
        <v/>
      </c>
      <c r="F17" s="21">
        <f>PRICING_ANALYSIS!E17</f>
        <v/>
      </c>
      <c r="G17" s="21">
        <f>E17-F17</f>
        <v/>
      </c>
      <c r="H17" s="21">
        <f>G17*0.10</f>
        <v/>
      </c>
      <c r="I17" s="21">
        <f>G17*0.11</f>
        <v/>
      </c>
      <c r="J17" s="21">
        <f>G17*0.12</f>
        <v/>
      </c>
      <c r="K17" s="21">
        <f>G17*0.13</f>
        <v/>
      </c>
      <c r="L17" s="21">
        <f>G17*0.14</f>
        <v/>
      </c>
      <c r="M17" s="21">
        <f>G17*0.15</f>
        <v/>
      </c>
      <c r="N17" s="21">
        <f>(G17-H17)/2</f>
        <v/>
      </c>
      <c r="O17" s="21">
        <f>(G17-M17)/2</f>
        <v/>
      </c>
      <c r="P17" s="32" t="inlineStr">
        <is>
          <t>TBD</t>
        </is>
      </c>
      <c r="Q17" s="12" t="inlineStr">
        <is>
          <t>Menunggu penetapan final rate dari manajemen Asterra Store</t>
        </is>
      </c>
    </row>
    <row r="18" ht="20" customHeight="1">
      <c r="A18" s="5">
        <f>PRICING_ANALYSIS!A18</f>
        <v/>
      </c>
      <c r="B18" s="29">
        <f>PRICING_ANALYSIS!B18</f>
        <v/>
      </c>
      <c r="C18" s="8">
        <f>PRICING_ANALYSIS!C18</f>
        <v/>
      </c>
      <c r="D18" s="8">
        <f>PRICING_ANALYSIS!D18</f>
        <v/>
      </c>
      <c r="E18" s="18">
        <f>PRICING_ANALYSIS!F18</f>
        <v/>
      </c>
      <c r="F18" s="18">
        <f>PRICING_ANALYSIS!E18</f>
        <v/>
      </c>
      <c r="G18" s="18">
        <f>E18-F18</f>
        <v/>
      </c>
      <c r="H18" s="18">
        <f>G18*0.10</f>
        <v/>
      </c>
      <c r="I18" s="18">
        <f>G18*0.11</f>
        <v/>
      </c>
      <c r="J18" s="18">
        <f>G18*0.12</f>
        <v/>
      </c>
      <c r="K18" s="18">
        <f>G18*0.13</f>
        <v/>
      </c>
      <c r="L18" s="18">
        <f>G18*0.14</f>
        <v/>
      </c>
      <c r="M18" s="18">
        <f>G18*0.15</f>
        <v/>
      </c>
      <c r="N18" s="18">
        <f>(G18-H18)/2</f>
        <v/>
      </c>
      <c r="O18" s="18">
        <f>(G18-M18)/2</f>
        <v/>
      </c>
      <c r="P18" s="32" t="inlineStr">
        <is>
          <t>TBD</t>
        </is>
      </c>
      <c r="Q18" s="8" t="inlineStr">
        <is>
          <t>Menunggu penetapan final rate dari manajemen Asterra Store</t>
        </is>
      </c>
    </row>
    <row r="19" ht="20" customHeight="1">
      <c r="A19" s="9">
        <f>PRICING_ANALYSIS!A19</f>
        <v/>
      </c>
      <c r="B19" s="28">
        <f>PRICING_ANALYSIS!B19</f>
        <v/>
      </c>
      <c r="C19" s="12">
        <f>PRICING_ANALYSIS!C19</f>
        <v/>
      </c>
      <c r="D19" s="12">
        <f>PRICING_ANALYSIS!D19</f>
        <v/>
      </c>
      <c r="E19" s="21">
        <f>PRICING_ANALYSIS!F19</f>
        <v/>
      </c>
      <c r="F19" s="21">
        <f>PRICING_ANALYSIS!E19</f>
        <v/>
      </c>
      <c r="G19" s="21">
        <f>E19-F19</f>
        <v/>
      </c>
      <c r="H19" s="21">
        <f>G19*0.10</f>
        <v/>
      </c>
      <c r="I19" s="21">
        <f>G19*0.11</f>
        <v/>
      </c>
      <c r="J19" s="21">
        <f>G19*0.12</f>
        <v/>
      </c>
      <c r="K19" s="21">
        <f>G19*0.13</f>
        <v/>
      </c>
      <c r="L19" s="21">
        <f>G19*0.14</f>
        <v/>
      </c>
      <c r="M19" s="21">
        <f>G19*0.15</f>
        <v/>
      </c>
      <c r="N19" s="21">
        <f>(G19-H19)/2</f>
        <v/>
      </c>
      <c r="O19" s="21">
        <f>(G19-M19)/2</f>
        <v/>
      </c>
      <c r="P19" s="32" t="inlineStr">
        <is>
          <t>TBD</t>
        </is>
      </c>
      <c r="Q19" s="12" t="inlineStr">
        <is>
          <t>Menunggu penetapan final rate dari manajemen Asterra Store</t>
        </is>
      </c>
    </row>
    <row r="20" ht="20" customHeight="1">
      <c r="A20" s="5">
        <f>PRICING_ANALYSIS!A20</f>
        <v/>
      </c>
      <c r="B20" s="29">
        <f>PRICING_ANALYSIS!B20</f>
        <v/>
      </c>
      <c r="C20" s="8">
        <f>PRICING_ANALYSIS!C20</f>
        <v/>
      </c>
      <c r="D20" s="8">
        <f>PRICING_ANALYSIS!D20</f>
        <v/>
      </c>
      <c r="E20" s="18">
        <f>PRICING_ANALYSIS!F20</f>
        <v/>
      </c>
      <c r="F20" s="18">
        <f>PRICING_ANALYSIS!E20</f>
        <v/>
      </c>
      <c r="G20" s="18">
        <f>E20-F20</f>
        <v/>
      </c>
      <c r="H20" s="18">
        <f>G20*0.10</f>
        <v/>
      </c>
      <c r="I20" s="18">
        <f>G20*0.11</f>
        <v/>
      </c>
      <c r="J20" s="18">
        <f>G20*0.12</f>
        <v/>
      </c>
      <c r="K20" s="18">
        <f>G20*0.13</f>
        <v/>
      </c>
      <c r="L20" s="18">
        <f>G20*0.14</f>
        <v/>
      </c>
      <c r="M20" s="18">
        <f>G20*0.15</f>
        <v/>
      </c>
      <c r="N20" s="18">
        <f>(G20-H20)/2</f>
        <v/>
      </c>
      <c r="O20" s="18">
        <f>(G20-M20)/2</f>
        <v/>
      </c>
      <c r="P20" s="32" t="inlineStr">
        <is>
          <t>TBD</t>
        </is>
      </c>
      <c r="Q20" s="8" t="inlineStr">
        <is>
          <t>Menunggu penetapan final rate dari manajemen Asterra Store</t>
        </is>
      </c>
    </row>
    <row r="21" ht="20" customHeight="1">
      <c r="A21" s="9">
        <f>PRICING_ANALYSIS!A21</f>
        <v/>
      </c>
      <c r="B21" s="28">
        <f>PRICING_ANALYSIS!B21</f>
        <v/>
      </c>
      <c r="C21" s="12">
        <f>PRICING_ANALYSIS!C21</f>
        <v/>
      </c>
      <c r="D21" s="12">
        <f>PRICING_ANALYSIS!D21</f>
        <v/>
      </c>
      <c r="E21" s="21">
        <f>PRICING_ANALYSIS!F21</f>
        <v/>
      </c>
      <c r="F21" s="21">
        <f>PRICING_ANALYSIS!E21</f>
        <v/>
      </c>
      <c r="G21" s="21">
        <f>E21-F21</f>
        <v/>
      </c>
      <c r="H21" s="21">
        <f>G21*0.10</f>
        <v/>
      </c>
      <c r="I21" s="21">
        <f>G21*0.11</f>
        <v/>
      </c>
      <c r="J21" s="21">
        <f>G21*0.12</f>
        <v/>
      </c>
      <c r="K21" s="21">
        <f>G21*0.13</f>
        <v/>
      </c>
      <c r="L21" s="21">
        <f>G21*0.14</f>
        <v/>
      </c>
      <c r="M21" s="21">
        <f>G21*0.15</f>
        <v/>
      </c>
      <c r="N21" s="21">
        <f>(G21-H21)/2</f>
        <v/>
      </c>
      <c r="O21" s="21">
        <f>(G21-M21)/2</f>
        <v/>
      </c>
      <c r="P21" s="32" t="inlineStr">
        <is>
          <t>TBD</t>
        </is>
      </c>
      <c r="Q21" s="12" t="inlineStr">
        <is>
          <t>Menunggu penetapan final rate dari manajemen Asterra Store</t>
        </is>
      </c>
    </row>
    <row r="22" ht="20" customHeight="1">
      <c r="A22" s="5">
        <f>PRICING_ANALYSIS!A22</f>
        <v/>
      </c>
      <c r="B22" s="29">
        <f>PRICING_ANALYSIS!B22</f>
        <v/>
      </c>
      <c r="C22" s="8">
        <f>PRICING_ANALYSIS!C22</f>
        <v/>
      </c>
      <c r="D22" s="8">
        <f>PRICING_ANALYSIS!D22</f>
        <v/>
      </c>
      <c r="E22" s="18">
        <f>PRICING_ANALYSIS!F22</f>
        <v/>
      </c>
      <c r="F22" s="18">
        <f>PRICING_ANALYSIS!E22</f>
        <v/>
      </c>
      <c r="G22" s="18">
        <f>E22-F22</f>
        <v/>
      </c>
      <c r="H22" s="18">
        <f>G22*0.10</f>
        <v/>
      </c>
      <c r="I22" s="18">
        <f>G22*0.11</f>
        <v/>
      </c>
      <c r="J22" s="18">
        <f>G22*0.12</f>
        <v/>
      </c>
      <c r="K22" s="18">
        <f>G22*0.13</f>
        <v/>
      </c>
      <c r="L22" s="18">
        <f>G22*0.14</f>
        <v/>
      </c>
      <c r="M22" s="18">
        <f>G22*0.15</f>
        <v/>
      </c>
      <c r="N22" s="18">
        <f>(G22-H22)/2</f>
        <v/>
      </c>
      <c r="O22" s="18">
        <f>(G22-M22)/2</f>
        <v/>
      </c>
      <c r="P22" s="32" t="inlineStr">
        <is>
          <t>TBD</t>
        </is>
      </c>
      <c r="Q22" s="8" t="inlineStr">
        <is>
          <t>Menunggu penetapan final rate dari manajemen Asterra Store</t>
        </is>
      </c>
    </row>
    <row r="23" ht="20" customHeight="1">
      <c r="A23" s="9">
        <f>PRICING_ANALYSIS!A23</f>
        <v/>
      </c>
      <c r="B23" s="28">
        <f>PRICING_ANALYSIS!B23</f>
        <v/>
      </c>
      <c r="C23" s="12">
        <f>PRICING_ANALYSIS!C23</f>
        <v/>
      </c>
      <c r="D23" s="12">
        <f>PRICING_ANALYSIS!D23</f>
        <v/>
      </c>
      <c r="E23" s="21">
        <f>PRICING_ANALYSIS!F23</f>
        <v/>
      </c>
      <c r="F23" s="21">
        <f>PRICING_ANALYSIS!E23</f>
        <v/>
      </c>
      <c r="G23" s="21">
        <f>E23-F23</f>
        <v/>
      </c>
      <c r="H23" s="21">
        <f>G23*0.10</f>
        <v/>
      </c>
      <c r="I23" s="21">
        <f>G23*0.11</f>
        <v/>
      </c>
      <c r="J23" s="21">
        <f>G23*0.12</f>
        <v/>
      </c>
      <c r="K23" s="21">
        <f>G23*0.13</f>
        <v/>
      </c>
      <c r="L23" s="21">
        <f>G23*0.14</f>
        <v/>
      </c>
      <c r="M23" s="21">
        <f>G23*0.15</f>
        <v/>
      </c>
      <c r="N23" s="21">
        <f>(G23-H23)/2</f>
        <v/>
      </c>
      <c r="O23" s="21">
        <f>(G23-M23)/2</f>
        <v/>
      </c>
      <c r="P23" s="32" t="inlineStr">
        <is>
          <t>TBD</t>
        </is>
      </c>
      <c r="Q23" s="12" t="inlineStr">
        <is>
          <t>Menunggu penetapan final rate dari manajemen Asterra Store</t>
        </is>
      </c>
    </row>
    <row r="24" ht="20" customHeight="1">
      <c r="A24" s="5">
        <f>PRICING_ANALYSIS!A24</f>
        <v/>
      </c>
      <c r="B24" s="29">
        <f>PRICING_ANALYSIS!B24</f>
        <v/>
      </c>
      <c r="C24" s="8">
        <f>PRICING_ANALYSIS!C24</f>
        <v/>
      </c>
      <c r="D24" s="8">
        <f>PRICING_ANALYSIS!D24</f>
        <v/>
      </c>
      <c r="E24" s="18">
        <f>PRICING_ANALYSIS!F24</f>
        <v/>
      </c>
      <c r="F24" s="18">
        <f>PRICING_ANALYSIS!E24</f>
        <v/>
      </c>
      <c r="G24" s="18">
        <f>E24-F24</f>
        <v/>
      </c>
      <c r="H24" s="18">
        <f>G24*0.10</f>
        <v/>
      </c>
      <c r="I24" s="18">
        <f>G24*0.11</f>
        <v/>
      </c>
      <c r="J24" s="18">
        <f>G24*0.12</f>
        <v/>
      </c>
      <c r="K24" s="18">
        <f>G24*0.13</f>
        <v/>
      </c>
      <c r="L24" s="18">
        <f>G24*0.14</f>
        <v/>
      </c>
      <c r="M24" s="18">
        <f>G24*0.15</f>
        <v/>
      </c>
      <c r="N24" s="18">
        <f>(G24-H24)/2</f>
        <v/>
      </c>
      <c r="O24" s="18">
        <f>(G24-M24)/2</f>
        <v/>
      </c>
      <c r="P24" s="32" t="inlineStr">
        <is>
          <t>TBD</t>
        </is>
      </c>
      <c r="Q24" s="8" t="inlineStr">
        <is>
          <t>Menunggu penetapan final rate dari manajemen Asterra Store</t>
        </is>
      </c>
    </row>
    <row r="25" ht="20" customHeight="1">
      <c r="A25" s="9">
        <f>PRICING_ANALYSIS!A25</f>
        <v/>
      </c>
      <c r="B25" s="28">
        <f>PRICING_ANALYSIS!B25</f>
        <v/>
      </c>
      <c r="C25" s="12">
        <f>PRICING_ANALYSIS!C25</f>
        <v/>
      </c>
      <c r="D25" s="12">
        <f>PRICING_ANALYSIS!D25</f>
        <v/>
      </c>
      <c r="E25" s="21">
        <f>PRICING_ANALYSIS!F25</f>
        <v/>
      </c>
      <c r="F25" s="21">
        <f>PRICING_ANALYSIS!E25</f>
        <v/>
      </c>
      <c r="G25" s="21">
        <f>E25-F25</f>
        <v/>
      </c>
      <c r="H25" s="21">
        <f>G25*0.10</f>
        <v/>
      </c>
      <c r="I25" s="21">
        <f>G25*0.11</f>
        <v/>
      </c>
      <c r="J25" s="21">
        <f>G25*0.12</f>
        <v/>
      </c>
      <c r="K25" s="21">
        <f>G25*0.13</f>
        <v/>
      </c>
      <c r="L25" s="21">
        <f>G25*0.14</f>
        <v/>
      </c>
      <c r="M25" s="21">
        <f>G25*0.15</f>
        <v/>
      </c>
      <c r="N25" s="21">
        <f>(G25-H25)/2</f>
        <v/>
      </c>
      <c r="O25" s="21">
        <f>(G25-M25)/2</f>
        <v/>
      </c>
      <c r="P25" s="32" t="inlineStr">
        <is>
          <t>TBD</t>
        </is>
      </c>
      <c r="Q25" s="12" t="inlineStr">
        <is>
          <t>Menunggu penetapan final rate dari manajemen Asterra Store</t>
        </is>
      </c>
    </row>
    <row r="26" ht="20" customHeight="1">
      <c r="A26" s="5">
        <f>PRICING_ANALYSIS!A26</f>
        <v/>
      </c>
      <c r="B26" s="29">
        <f>PRICING_ANALYSIS!B26</f>
        <v/>
      </c>
      <c r="C26" s="8">
        <f>PRICING_ANALYSIS!C26</f>
        <v/>
      </c>
      <c r="D26" s="8">
        <f>PRICING_ANALYSIS!D26</f>
        <v/>
      </c>
      <c r="E26" s="18">
        <f>PRICING_ANALYSIS!F26</f>
        <v/>
      </c>
      <c r="F26" s="18">
        <f>PRICING_ANALYSIS!E26</f>
        <v/>
      </c>
      <c r="G26" s="18">
        <f>E26-F26</f>
        <v/>
      </c>
      <c r="H26" s="18">
        <f>G26*0.10</f>
        <v/>
      </c>
      <c r="I26" s="18">
        <f>G26*0.11</f>
        <v/>
      </c>
      <c r="J26" s="18">
        <f>G26*0.12</f>
        <v/>
      </c>
      <c r="K26" s="18">
        <f>G26*0.13</f>
        <v/>
      </c>
      <c r="L26" s="18">
        <f>G26*0.14</f>
        <v/>
      </c>
      <c r="M26" s="18">
        <f>G26*0.15</f>
        <v/>
      </c>
      <c r="N26" s="18">
        <f>(G26-H26)/2</f>
        <v/>
      </c>
      <c r="O26" s="18">
        <f>(G26-M26)/2</f>
        <v/>
      </c>
      <c r="P26" s="32" t="inlineStr">
        <is>
          <t>TBD</t>
        </is>
      </c>
      <c r="Q26" s="8" t="inlineStr">
        <is>
          <t>Menunggu penetapan final rate dari manajemen Asterra Store</t>
        </is>
      </c>
    </row>
    <row r="27" ht="20" customHeight="1">
      <c r="A27" s="9">
        <f>PRICING_ANALYSIS!A27</f>
        <v/>
      </c>
      <c r="B27" s="28">
        <f>PRICING_ANALYSIS!B27</f>
        <v/>
      </c>
      <c r="C27" s="12">
        <f>PRICING_ANALYSIS!C27</f>
        <v/>
      </c>
      <c r="D27" s="12">
        <f>PRICING_ANALYSIS!D27</f>
        <v/>
      </c>
      <c r="E27" s="21">
        <f>PRICING_ANALYSIS!F27</f>
        <v/>
      </c>
      <c r="F27" s="21">
        <f>PRICING_ANALYSIS!E27</f>
        <v/>
      </c>
      <c r="G27" s="21">
        <f>E27-F27</f>
        <v/>
      </c>
      <c r="H27" s="21">
        <f>G27*0.10</f>
        <v/>
      </c>
      <c r="I27" s="21">
        <f>G27*0.11</f>
        <v/>
      </c>
      <c r="J27" s="21">
        <f>G27*0.12</f>
        <v/>
      </c>
      <c r="K27" s="21">
        <f>G27*0.13</f>
        <v/>
      </c>
      <c r="L27" s="21">
        <f>G27*0.14</f>
        <v/>
      </c>
      <c r="M27" s="21">
        <f>G27*0.15</f>
        <v/>
      </c>
      <c r="N27" s="21">
        <f>(G27-H27)/2</f>
        <v/>
      </c>
      <c r="O27" s="21">
        <f>(G27-M27)/2</f>
        <v/>
      </c>
      <c r="P27" s="32" t="inlineStr">
        <is>
          <t>TBD</t>
        </is>
      </c>
      <c r="Q27" s="12" t="inlineStr">
        <is>
          <t>Menunggu penetapan final rate dari manajemen Asterra Store</t>
        </is>
      </c>
    </row>
    <row r="28" ht="20" customHeight="1">
      <c r="A28" s="5">
        <f>PRICING_ANALYSIS!A28</f>
        <v/>
      </c>
      <c r="B28" s="29">
        <f>PRICING_ANALYSIS!B28</f>
        <v/>
      </c>
      <c r="C28" s="8">
        <f>PRICING_ANALYSIS!C28</f>
        <v/>
      </c>
      <c r="D28" s="8">
        <f>PRICING_ANALYSIS!D28</f>
        <v/>
      </c>
      <c r="E28" s="18">
        <f>PRICING_ANALYSIS!F28</f>
        <v/>
      </c>
      <c r="F28" s="18">
        <f>PRICING_ANALYSIS!E28</f>
        <v/>
      </c>
      <c r="G28" s="18">
        <f>E28-F28</f>
        <v/>
      </c>
      <c r="H28" s="18">
        <f>G28*0.10</f>
        <v/>
      </c>
      <c r="I28" s="18">
        <f>G28*0.11</f>
        <v/>
      </c>
      <c r="J28" s="18">
        <f>G28*0.12</f>
        <v/>
      </c>
      <c r="K28" s="18">
        <f>G28*0.13</f>
        <v/>
      </c>
      <c r="L28" s="18">
        <f>G28*0.14</f>
        <v/>
      </c>
      <c r="M28" s="18">
        <f>G28*0.15</f>
        <v/>
      </c>
      <c r="N28" s="18">
        <f>(G28-H28)/2</f>
        <v/>
      </c>
      <c r="O28" s="18">
        <f>(G28-M28)/2</f>
        <v/>
      </c>
      <c r="P28" s="32" t="inlineStr">
        <is>
          <t>TBD</t>
        </is>
      </c>
      <c r="Q28" s="8" t="inlineStr">
        <is>
          <t>Menunggu penetapan final rate dari manajemen Asterra Store</t>
        </is>
      </c>
    </row>
    <row r="29" ht="20" customHeight="1">
      <c r="A29" s="9">
        <f>PRICING_ANALYSIS!A29</f>
        <v/>
      </c>
      <c r="B29" s="28">
        <f>PRICING_ANALYSIS!B29</f>
        <v/>
      </c>
      <c r="C29" s="12">
        <f>PRICING_ANALYSIS!C29</f>
        <v/>
      </c>
      <c r="D29" s="12">
        <f>PRICING_ANALYSIS!D29</f>
        <v/>
      </c>
      <c r="E29" s="21">
        <f>PRICING_ANALYSIS!F29</f>
        <v/>
      </c>
      <c r="F29" s="21">
        <f>PRICING_ANALYSIS!E29</f>
        <v/>
      </c>
      <c r="G29" s="21">
        <f>E29-F29</f>
        <v/>
      </c>
      <c r="H29" s="21">
        <f>G29*0.10</f>
        <v/>
      </c>
      <c r="I29" s="21">
        <f>G29*0.11</f>
        <v/>
      </c>
      <c r="J29" s="21">
        <f>G29*0.12</f>
        <v/>
      </c>
      <c r="K29" s="21">
        <f>G29*0.13</f>
        <v/>
      </c>
      <c r="L29" s="21">
        <f>G29*0.14</f>
        <v/>
      </c>
      <c r="M29" s="21">
        <f>G29*0.15</f>
        <v/>
      </c>
      <c r="N29" s="21">
        <f>(G29-H29)/2</f>
        <v/>
      </c>
      <c r="O29" s="21">
        <f>(G29-M29)/2</f>
        <v/>
      </c>
      <c r="P29" s="32" t="inlineStr">
        <is>
          <t>TBD</t>
        </is>
      </c>
      <c r="Q29" s="12" t="inlineStr">
        <is>
          <t>Menunggu penetapan final rate dari manajemen Asterra Store</t>
        </is>
      </c>
    </row>
    <row r="30" ht="20" customHeight="1">
      <c r="A30" s="5">
        <f>PRICING_ANALYSIS!A30</f>
        <v/>
      </c>
      <c r="B30" s="29">
        <f>PRICING_ANALYSIS!B30</f>
        <v/>
      </c>
      <c r="C30" s="8">
        <f>PRICING_ANALYSIS!C30</f>
        <v/>
      </c>
      <c r="D30" s="8">
        <f>PRICING_ANALYSIS!D30</f>
        <v/>
      </c>
      <c r="E30" s="18">
        <f>PRICING_ANALYSIS!F30</f>
        <v/>
      </c>
      <c r="F30" s="18">
        <f>PRICING_ANALYSIS!E30</f>
        <v/>
      </c>
      <c r="G30" s="18">
        <f>E30-F30</f>
        <v/>
      </c>
      <c r="H30" s="18">
        <f>G30*0.10</f>
        <v/>
      </c>
      <c r="I30" s="18">
        <f>G30*0.11</f>
        <v/>
      </c>
      <c r="J30" s="18">
        <f>G30*0.12</f>
        <v/>
      </c>
      <c r="K30" s="18">
        <f>G30*0.13</f>
        <v/>
      </c>
      <c r="L30" s="18">
        <f>G30*0.14</f>
        <v/>
      </c>
      <c r="M30" s="18">
        <f>G30*0.15</f>
        <v/>
      </c>
      <c r="N30" s="18">
        <f>(G30-H30)/2</f>
        <v/>
      </c>
      <c r="O30" s="18">
        <f>(G30-M30)/2</f>
        <v/>
      </c>
      <c r="P30" s="32" t="inlineStr">
        <is>
          <t>TBD</t>
        </is>
      </c>
      <c r="Q30" s="8" t="inlineStr">
        <is>
          <t>Menunggu penetapan final rate dari manajemen Asterra Store</t>
        </is>
      </c>
    </row>
    <row r="31" ht="20" customHeight="1">
      <c r="A31" s="9">
        <f>PRICING_ANALYSIS!A31</f>
        <v/>
      </c>
      <c r="B31" s="28">
        <f>PRICING_ANALYSIS!B31</f>
        <v/>
      </c>
      <c r="C31" s="12">
        <f>PRICING_ANALYSIS!C31</f>
        <v/>
      </c>
      <c r="D31" s="12">
        <f>PRICING_ANALYSIS!D31</f>
        <v/>
      </c>
      <c r="E31" s="21">
        <f>PRICING_ANALYSIS!F31</f>
        <v/>
      </c>
      <c r="F31" s="21">
        <f>PRICING_ANALYSIS!E31</f>
        <v/>
      </c>
      <c r="G31" s="21">
        <f>E31-F31</f>
        <v/>
      </c>
      <c r="H31" s="21">
        <f>G31*0.10</f>
        <v/>
      </c>
      <c r="I31" s="21">
        <f>G31*0.11</f>
        <v/>
      </c>
      <c r="J31" s="21">
        <f>G31*0.12</f>
        <v/>
      </c>
      <c r="K31" s="21">
        <f>G31*0.13</f>
        <v/>
      </c>
      <c r="L31" s="21">
        <f>G31*0.14</f>
        <v/>
      </c>
      <c r="M31" s="21">
        <f>G31*0.15</f>
        <v/>
      </c>
      <c r="N31" s="21">
        <f>(G31-H31)/2</f>
        <v/>
      </c>
      <c r="O31" s="21">
        <f>(G31-M31)/2</f>
        <v/>
      </c>
      <c r="P31" s="32" t="inlineStr">
        <is>
          <t>TBD</t>
        </is>
      </c>
      <c r="Q31" s="12" t="inlineStr">
        <is>
          <t>Menunggu penetapan final rate dari manajemen Asterra Store</t>
        </is>
      </c>
    </row>
    <row r="32" ht="20" customHeight="1">
      <c r="A32" s="5">
        <f>PRICING_ANALYSIS!A32</f>
        <v/>
      </c>
      <c r="B32" s="29">
        <f>PRICING_ANALYSIS!B32</f>
        <v/>
      </c>
      <c r="C32" s="8">
        <f>PRICING_ANALYSIS!C32</f>
        <v/>
      </c>
      <c r="D32" s="8">
        <f>PRICING_ANALYSIS!D32</f>
        <v/>
      </c>
      <c r="E32" s="18">
        <f>PRICING_ANALYSIS!F32</f>
        <v/>
      </c>
      <c r="F32" s="18">
        <f>PRICING_ANALYSIS!E32</f>
        <v/>
      </c>
      <c r="G32" s="18">
        <f>E32-F32</f>
        <v/>
      </c>
      <c r="H32" s="18">
        <f>G32*0.10</f>
        <v/>
      </c>
      <c r="I32" s="18">
        <f>G32*0.11</f>
        <v/>
      </c>
      <c r="J32" s="18">
        <f>G32*0.12</f>
        <v/>
      </c>
      <c r="K32" s="18">
        <f>G32*0.13</f>
        <v/>
      </c>
      <c r="L32" s="18">
        <f>G32*0.14</f>
        <v/>
      </c>
      <c r="M32" s="18">
        <f>G32*0.15</f>
        <v/>
      </c>
      <c r="N32" s="18">
        <f>(G32-H32)/2</f>
        <v/>
      </c>
      <c r="O32" s="18">
        <f>(G32-M32)/2</f>
        <v/>
      </c>
      <c r="P32" s="32" t="inlineStr">
        <is>
          <t>TBD</t>
        </is>
      </c>
      <c r="Q32" s="8" t="inlineStr">
        <is>
          <t>Menunggu penetapan final rate dari manajemen Asterra Store</t>
        </is>
      </c>
    </row>
    <row r="33" ht="20" customHeight="1">
      <c r="A33" s="9">
        <f>PRICING_ANALYSIS!A33</f>
        <v/>
      </c>
      <c r="B33" s="28">
        <f>PRICING_ANALYSIS!B33</f>
        <v/>
      </c>
      <c r="C33" s="12">
        <f>PRICING_ANALYSIS!C33</f>
        <v/>
      </c>
      <c r="D33" s="12">
        <f>PRICING_ANALYSIS!D33</f>
        <v/>
      </c>
      <c r="E33" s="21">
        <f>PRICING_ANALYSIS!F33</f>
        <v/>
      </c>
      <c r="F33" s="21">
        <f>PRICING_ANALYSIS!E33</f>
        <v/>
      </c>
      <c r="G33" s="21">
        <f>E33-F33</f>
        <v/>
      </c>
      <c r="H33" s="21">
        <f>G33*0.10</f>
        <v/>
      </c>
      <c r="I33" s="21">
        <f>G33*0.11</f>
        <v/>
      </c>
      <c r="J33" s="21">
        <f>G33*0.12</f>
        <v/>
      </c>
      <c r="K33" s="21">
        <f>G33*0.13</f>
        <v/>
      </c>
      <c r="L33" s="21">
        <f>G33*0.14</f>
        <v/>
      </c>
      <c r="M33" s="21">
        <f>G33*0.15</f>
        <v/>
      </c>
      <c r="N33" s="21">
        <f>(G33-H33)/2</f>
        <v/>
      </c>
      <c r="O33" s="21">
        <f>(G33-M33)/2</f>
        <v/>
      </c>
      <c r="P33" s="32" t="inlineStr">
        <is>
          <t>TBD</t>
        </is>
      </c>
      <c r="Q33" s="12" t="inlineStr">
        <is>
          <t>Menunggu penetapan final rate dari manajemen Asterra Store</t>
        </is>
      </c>
    </row>
    <row r="34" ht="20" customHeight="1">
      <c r="A34" s="5">
        <f>PRICING_ANALYSIS!A34</f>
        <v/>
      </c>
      <c r="B34" s="29">
        <f>PRICING_ANALYSIS!B34</f>
        <v/>
      </c>
      <c r="C34" s="8">
        <f>PRICING_ANALYSIS!C34</f>
        <v/>
      </c>
      <c r="D34" s="8">
        <f>PRICING_ANALYSIS!D34</f>
        <v/>
      </c>
      <c r="E34" s="18">
        <f>PRICING_ANALYSIS!F34</f>
        <v/>
      </c>
      <c r="F34" s="18">
        <f>PRICING_ANALYSIS!E34</f>
        <v/>
      </c>
      <c r="G34" s="18">
        <f>E34-F34</f>
        <v/>
      </c>
      <c r="H34" s="18">
        <f>G34*0.10</f>
        <v/>
      </c>
      <c r="I34" s="18">
        <f>G34*0.11</f>
        <v/>
      </c>
      <c r="J34" s="18">
        <f>G34*0.12</f>
        <v/>
      </c>
      <c r="K34" s="18">
        <f>G34*0.13</f>
        <v/>
      </c>
      <c r="L34" s="18">
        <f>G34*0.14</f>
        <v/>
      </c>
      <c r="M34" s="18">
        <f>G34*0.15</f>
        <v/>
      </c>
      <c r="N34" s="18">
        <f>(G34-H34)/2</f>
        <v/>
      </c>
      <c r="O34" s="18">
        <f>(G34-M34)/2</f>
        <v/>
      </c>
      <c r="P34" s="32" t="inlineStr">
        <is>
          <t>TBD</t>
        </is>
      </c>
      <c r="Q34" s="8" t="inlineStr">
        <is>
          <t>Menunggu penetapan final rate dari manajemen Asterra Store</t>
        </is>
      </c>
    </row>
    <row r="35" ht="20" customHeight="1">
      <c r="A35" s="9">
        <f>PRICING_ANALYSIS!A35</f>
        <v/>
      </c>
      <c r="B35" s="28">
        <f>PRICING_ANALYSIS!B35</f>
        <v/>
      </c>
      <c r="C35" s="12">
        <f>PRICING_ANALYSIS!C35</f>
        <v/>
      </c>
      <c r="D35" s="12">
        <f>PRICING_ANALYSIS!D35</f>
        <v/>
      </c>
      <c r="E35" s="21">
        <f>PRICING_ANALYSIS!F35</f>
        <v/>
      </c>
      <c r="F35" s="21">
        <f>PRICING_ANALYSIS!E35</f>
        <v/>
      </c>
      <c r="G35" s="21">
        <f>E35-F35</f>
        <v/>
      </c>
      <c r="H35" s="21">
        <f>G35*0.10</f>
        <v/>
      </c>
      <c r="I35" s="21">
        <f>G35*0.11</f>
        <v/>
      </c>
      <c r="J35" s="21">
        <f>G35*0.12</f>
        <v/>
      </c>
      <c r="K35" s="21">
        <f>G35*0.13</f>
        <v/>
      </c>
      <c r="L35" s="21">
        <f>G35*0.14</f>
        <v/>
      </c>
      <c r="M35" s="21">
        <f>G35*0.15</f>
        <v/>
      </c>
      <c r="N35" s="21">
        <f>(G35-H35)/2</f>
        <v/>
      </c>
      <c r="O35" s="21">
        <f>(G35-M35)/2</f>
        <v/>
      </c>
      <c r="P35" s="32" t="inlineStr">
        <is>
          <t>TBD</t>
        </is>
      </c>
      <c r="Q35" s="12" t="inlineStr">
        <is>
          <t>Menunggu penetapan final rate dari manajemen Asterra Store</t>
        </is>
      </c>
    </row>
    <row r="36" ht="20" customHeight="1">
      <c r="A36" s="5">
        <f>PRICING_ANALYSIS!A36</f>
        <v/>
      </c>
      <c r="B36" s="29">
        <f>PRICING_ANALYSIS!B36</f>
        <v/>
      </c>
      <c r="C36" s="8">
        <f>PRICING_ANALYSIS!C36</f>
        <v/>
      </c>
      <c r="D36" s="8">
        <f>PRICING_ANALYSIS!D36</f>
        <v/>
      </c>
      <c r="E36" s="18">
        <f>PRICING_ANALYSIS!F36</f>
        <v/>
      </c>
      <c r="F36" s="18">
        <f>PRICING_ANALYSIS!E36</f>
        <v/>
      </c>
      <c r="G36" s="18">
        <f>E36-F36</f>
        <v/>
      </c>
      <c r="H36" s="18">
        <f>G36*0.10</f>
        <v/>
      </c>
      <c r="I36" s="18">
        <f>G36*0.11</f>
        <v/>
      </c>
      <c r="J36" s="18">
        <f>G36*0.12</f>
        <v/>
      </c>
      <c r="K36" s="18">
        <f>G36*0.13</f>
        <v/>
      </c>
      <c r="L36" s="18">
        <f>G36*0.14</f>
        <v/>
      </c>
      <c r="M36" s="18">
        <f>G36*0.15</f>
        <v/>
      </c>
      <c r="N36" s="18">
        <f>(G36-H36)/2</f>
        <v/>
      </c>
      <c r="O36" s="18">
        <f>(G36-M36)/2</f>
        <v/>
      </c>
      <c r="P36" s="32" t="inlineStr">
        <is>
          <t>TBD</t>
        </is>
      </c>
      <c r="Q36" s="8" t="inlineStr">
        <is>
          <t>Menunggu penetapan final rate dari manajemen Asterra Store</t>
        </is>
      </c>
    </row>
    <row r="37" ht="20" customHeight="1">
      <c r="A37" s="9">
        <f>PRICING_ANALYSIS!A37</f>
        <v/>
      </c>
      <c r="B37" s="28">
        <f>PRICING_ANALYSIS!B37</f>
        <v/>
      </c>
      <c r="C37" s="12">
        <f>PRICING_ANALYSIS!C37</f>
        <v/>
      </c>
      <c r="D37" s="12">
        <f>PRICING_ANALYSIS!D37</f>
        <v/>
      </c>
      <c r="E37" s="21">
        <f>PRICING_ANALYSIS!F37</f>
        <v/>
      </c>
      <c r="F37" s="21">
        <f>PRICING_ANALYSIS!E37</f>
        <v/>
      </c>
      <c r="G37" s="21">
        <f>E37-F37</f>
        <v/>
      </c>
      <c r="H37" s="21">
        <f>G37*0.10</f>
        <v/>
      </c>
      <c r="I37" s="21">
        <f>G37*0.11</f>
        <v/>
      </c>
      <c r="J37" s="21">
        <f>G37*0.12</f>
        <v/>
      </c>
      <c r="K37" s="21">
        <f>G37*0.13</f>
        <v/>
      </c>
      <c r="L37" s="21">
        <f>G37*0.14</f>
        <v/>
      </c>
      <c r="M37" s="21">
        <f>G37*0.15</f>
        <v/>
      </c>
      <c r="N37" s="21">
        <f>(G37-H37)/2</f>
        <v/>
      </c>
      <c r="O37" s="21">
        <f>(G37-M37)/2</f>
        <v/>
      </c>
      <c r="P37" s="32" t="inlineStr">
        <is>
          <t>TBD</t>
        </is>
      </c>
      <c r="Q37" s="12" t="inlineStr">
        <is>
          <t>Menunggu penetapan final rate dari manajemen Asterra Store</t>
        </is>
      </c>
    </row>
    <row r="38" ht="20" customHeight="1">
      <c r="A38" s="5">
        <f>PRICING_ANALYSIS!A38</f>
        <v/>
      </c>
      <c r="B38" s="29">
        <f>PRICING_ANALYSIS!B38</f>
        <v/>
      </c>
      <c r="C38" s="8">
        <f>PRICING_ANALYSIS!C38</f>
        <v/>
      </c>
      <c r="D38" s="8">
        <f>PRICING_ANALYSIS!D38</f>
        <v/>
      </c>
      <c r="E38" s="18">
        <f>PRICING_ANALYSIS!F38</f>
        <v/>
      </c>
      <c r="F38" s="18">
        <f>PRICING_ANALYSIS!E38</f>
        <v/>
      </c>
      <c r="G38" s="18">
        <f>E38-F38</f>
        <v/>
      </c>
      <c r="H38" s="18">
        <f>G38*0.10</f>
        <v/>
      </c>
      <c r="I38" s="18">
        <f>G38*0.11</f>
        <v/>
      </c>
      <c r="J38" s="18">
        <f>G38*0.12</f>
        <v/>
      </c>
      <c r="K38" s="18">
        <f>G38*0.13</f>
        <v/>
      </c>
      <c r="L38" s="18">
        <f>G38*0.14</f>
        <v/>
      </c>
      <c r="M38" s="18">
        <f>G38*0.15</f>
        <v/>
      </c>
      <c r="N38" s="18">
        <f>(G38-H38)/2</f>
        <v/>
      </c>
      <c r="O38" s="18">
        <f>(G38-M38)/2</f>
        <v/>
      </c>
      <c r="P38" s="32" t="inlineStr">
        <is>
          <t>TBD</t>
        </is>
      </c>
      <c r="Q38" s="8" t="inlineStr">
        <is>
          <t>Menunggu penetapan final rate dari manajemen Asterra Store</t>
        </is>
      </c>
    </row>
    <row r="39" ht="20" customHeight="1">
      <c r="A39" s="9">
        <f>PRICING_ANALYSIS!A39</f>
        <v/>
      </c>
      <c r="B39" s="28">
        <f>PRICING_ANALYSIS!B39</f>
        <v/>
      </c>
      <c r="C39" s="12">
        <f>PRICING_ANALYSIS!C39</f>
        <v/>
      </c>
      <c r="D39" s="12">
        <f>PRICING_ANALYSIS!D39</f>
        <v/>
      </c>
      <c r="E39" s="21">
        <f>PRICING_ANALYSIS!F39</f>
        <v/>
      </c>
      <c r="F39" s="21">
        <f>PRICING_ANALYSIS!E39</f>
        <v/>
      </c>
      <c r="G39" s="21">
        <f>E39-F39</f>
        <v/>
      </c>
      <c r="H39" s="21">
        <f>G39*0.10</f>
        <v/>
      </c>
      <c r="I39" s="21">
        <f>G39*0.11</f>
        <v/>
      </c>
      <c r="J39" s="21">
        <f>G39*0.12</f>
        <v/>
      </c>
      <c r="K39" s="21">
        <f>G39*0.13</f>
        <v/>
      </c>
      <c r="L39" s="21">
        <f>G39*0.14</f>
        <v/>
      </c>
      <c r="M39" s="21">
        <f>G39*0.15</f>
        <v/>
      </c>
      <c r="N39" s="21">
        <f>(G39-H39)/2</f>
        <v/>
      </c>
      <c r="O39" s="21">
        <f>(G39-M39)/2</f>
        <v/>
      </c>
      <c r="P39" s="32" t="inlineStr">
        <is>
          <t>TBD</t>
        </is>
      </c>
      <c r="Q39" s="12" t="inlineStr">
        <is>
          <t>Menunggu penetapan final rate dari manajemen Asterra Store</t>
        </is>
      </c>
    </row>
    <row r="40" ht="20" customHeight="1">
      <c r="A40" s="5">
        <f>PRICING_ANALYSIS!A40</f>
        <v/>
      </c>
      <c r="B40" s="29">
        <f>PRICING_ANALYSIS!B40</f>
        <v/>
      </c>
      <c r="C40" s="8">
        <f>PRICING_ANALYSIS!C40</f>
        <v/>
      </c>
      <c r="D40" s="8">
        <f>PRICING_ANALYSIS!D40</f>
        <v/>
      </c>
      <c r="E40" s="18">
        <f>PRICING_ANALYSIS!F40</f>
        <v/>
      </c>
      <c r="F40" s="18">
        <f>PRICING_ANALYSIS!E40</f>
        <v/>
      </c>
      <c r="G40" s="18">
        <f>E40-F40</f>
        <v/>
      </c>
      <c r="H40" s="18">
        <f>G40*0.10</f>
        <v/>
      </c>
      <c r="I40" s="18">
        <f>G40*0.11</f>
        <v/>
      </c>
      <c r="J40" s="18">
        <f>G40*0.12</f>
        <v/>
      </c>
      <c r="K40" s="18">
        <f>G40*0.13</f>
        <v/>
      </c>
      <c r="L40" s="18">
        <f>G40*0.14</f>
        <v/>
      </c>
      <c r="M40" s="18">
        <f>G40*0.15</f>
        <v/>
      </c>
      <c r="N40" s="18">
        <f>(G40-H40)/2</f>
        <v/>
      </c>
      <c r="O40" s="18">
        <f>(G40-M40)/2</f>
        <v/>
      </c>
      <c r="P40" s="32" t="inlineStr">
        <is>
          <t>TBD</t>
        </is>
      </c>
      <c r="Q40" s="8" t="inlineStr">
        <is>
          <t>Menunggu penetapan final rate dari manajemen Asterra Store</t>
        </is>
      </c>
    </row>
    <row r="41" ht="20" customHeight="1">
      <c r="A41" s="9">
        <f>PRICING_ANALYSIS!A41</f>
        <v/>
      </c>
      <c r="B41" s="28">
        <f>PRICING_ANALYSIS!B41</f>
        <v/>
      </c>
      <c r="C41" s="12">
        <f>PRICING_ANALYSIS!C41</f>
        <v/>
      </c>
      <c r="D41" s="12">
        <f>PRICING_ANALYSIS!D41</f>
        <v/>
      </c>
      <c r="E41" s="21">
        <f>PRICING_ANALYSIS!F41</f>
        <v/>
      </c>
      <c r="F41" s="21">
        <f>PRICING_ANALYSIS!E41</f>
        <v/>
      </c>
      <c r="G41" s="21">
        <f>E41-F41</f>
        <v/>
      </c>
      <c r="H41" s="21">
        <f>G41*0.10</f>
        <v/>
      </c>
      <c r="I41" s="21">
        <f>G41*0.11</f>
        <v/>
      </c>
      <c r="J41" s="21">
        <f>G41*0.12</f>
        <v/>
      </c>
      <c r="K41" s="21">
        <f>G41*0.13</f>
        <v/>
      </c>
      <c r="L41" s="21">
        <f>G41*0.14</f>
        <v/>
      </c>
      <c r="M41" s="21">
        <f>G41*0.15</f>
        <v/>
      </c>
      <c r="N41" s="21">
        <f>(G41-H41)/2</f>
        <v/>
      </c>
      <c r="O41" s="21">
        <f>(G41-M41)/2</f>
        <v/>
      </c>
      <c r="P41" s="32" t="inlineStr">
        <is>
          <t>TBD</t>
        </is>
      </c>
      <c r="Q41" s="12" t="inlineStr">
        <is>
          <t>Menunggu penetapan final rate dari manajemen Asterra Store</t>
        </is>
      </c>
    </row>
    <row r="42" ht="22" customHeight="1">
      <c r="A42" s="23" t="inlineStr">
        <is>
          <t>RATA-RATA</t>
        </is>
      </c>
      <c r="B42" s="30" t="inlineStr"/>
      <c r="C42" s="30" t="inlineStr"/>
      <c r="D42" s="30" t="inlineStr"/>
      <c r="E42" s="25">
        <f>AVERAGE(E5:E41)</f>
        <v/>
      </c>
      <c r="F42" s="25">
        <f>AVERAGE(F5:F41)</f>
        <v/>
      </c>
      <c r="G42" s="25">
        <f>AVERAGE(G5:G41)</f>
        <v/>
      </c>
      <c r="H42" s="25">
        <f>AVERAGE(H5:H41)</f>
        <v/>
      </c>
      <c r="I42" s="25">
        <f>AVERAGE(I5:I41)</f>
        <v/>
      </c>
      <c r="J42" s="25">
        <f>AVERAGE(J5:J41)</f>
        <v/>
      </c>
      <c r="K42" s="25">
        <f>AVERAGE(K5:K41)</f>
        <v/>
      </c>
      <c r="L42" s="25">
        <f>AVERAGE(L5:L41)</f>
        <v/>
      </c>
      <c r="M42" s="25">
        <f>AVERAGE(M5:M41)</f>
        <v/>
      </c>
      <c r="N42" s="25">
        <f>AVERAGE(N5:N41)</f>
        <v/>
      </c>
      <c r="O42" s="25">
        <f>AVERAGE(O5:O41)</f>
        <v/>
      </c>
      <c r="P42" s="30" t="inlineStr"/>
      <c r="Q42" s="30" t="inlineStr"/>
    </row>
  </sheetData>
  <mergeCells count="2">
    <mergeCell ref="A2:Q2"/>
    <mergeCell ref="A1:Q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2"/>
  <sheetViews>
    <sheetView showGridLines="1" workbookViewId="0">
      <selection activeCell="A1" sqref="A1"/>
    </sheetView>
  </sheetViews>
  <sheetFormatPr baseColWidth="8" defaultRowHeight="15"/>
  <cols>
    <col width="159" customWidth="1" min="1" max="1"/>
    <col width="19" customWidth="1" min="2" max="2"/>
    <col width="16" customWidth="1" min="3" max="3"/>
    <col width="16" customWidth="1" min="4" max="4"/>
    <col width="56" customWidth="1" min="5" max="5"/>
    <col width="10" customWidth="1" min="6" max="6"/>
    <col width="10" customWidth="1" min="7" max="7"/>
  </cols>
  <sheetData>
    <row r="1" ht="28" customHeight="1">
      <c r="A1" s="1" t="inlineStr">
        <is>
          <t>ASTERRA STORE — ATURAN &amp; SISTEM KOMISI SALES &amp; PROMO</t>
        </is>
      </c>
    </row>
    <row r="2" ht="18" customHeight="1">
      <c r="A2" s="2" t="inlineStr">
        <is>
          <t>Pedoman Operasional Pembagian Laba, Peran Sales, dan Alokasi Beban Diskon Promo</t>
        </is>
      </c>
    </row>
    <row r="3"/>
    <row r="4">
      <c r="A4" s="3" t="inlineStr">
        <is>
          <t>1. PRINSIP DASAR &amp; PERAN SALES ASTERRA STORE</t>
        </is>
      </c>
    </row>
    <row r="5" ht="18" customHeight="1">
      <c r="A5" s="34" t="inlineStr">
        <is>
          <t>• Sales BUKAN Reseller: Sales tidak membeli produk untuk dijual kembali dan tidak menentukan harga jual secara mandiri.</t>
        </is>
      </c>
    </row>
    <row r="6" ht="18" customHeight="1">
      <c r="A6" s="34" t="inlineStr">
        <is>
          <t>• Transaksi Langsung: Customer bertransaksi dan membayar langsung melalui website resmi Asterra Store.</t>
        </is>
      </c>
    </row>
    <row r="7" ht="18" customHeight="1">
      <c r="A7" s="34" t="inlineStr">
        <is>
          <t>• Promosi Melalui Kode Unik: Sales mempromosikan website menggunakan kode promo khusus Sales.</t>
        </is>
      </c>
    </row>
    <row r="8" ht="18" customHeight="1">
      <c r="A8" s="34" t="inlineStr">
        <is>
          <t>• Hak Komisi: Sales mendapatkan komisi persentase dari Gross Profit (Laba Kotor), BUKAN dari Omzet (Gross Revenue).</t>
        </is>
      </c>
    </row>
    <row r="9" ht="18" customHeight="1">
      <c r="A9" s="34" t="inlineStr">
        <is>
          <t>• Tanpa Kode Sales: Jika customer order tanpa kode Sales, Laba Kotor dibagi rata: CEO 50% &amp; COO 50% (Sales 0%).</t>
        </is>
      </c>
    </row>
    <row r="10" ht="18" customHeight="1">
      <c r="A10" s="34" t="inlineStr">
        <is>
          <t>• Dengan Kode Sales: Sales mendapatkan komisi 10% - 15% dari Gross Profit. Sisa laba dibagi rata: CEO (100%-Sales%)/2 dan COO (100%-Sales%)/2.</t>
        </is>
      </c>
    </row>
    <row r="11"/>
    <row r="12">
      <c r="A12" s="3" t="inlineStr">
        <is>
          <t>2. MATRIKS DISTRIBUSI LABA KOTOR (GROSS PROFIT)</t>
        </is>
      </c>
    </row>
    <row r="13" ht="24" customHeight="1">
      <c r="A13" s="4" t="inlineStr">
        <is>
          <t>Skenario</t>
        </is>
      </c>
      <c r="B13" s="4" t="inlineStr">
        <is>
          <t>Komisi Sales (%)</t>
        </is>
      </c>
      <c r="C13" s="4" t="inlineStr">
        <is>
          <t>Porsi CEO (%)</t>
        </is>
      </c>
      <c r="D13" s="4" t="inlineStr">
        <is>
          <t>Porsi COO (%)</t>
        </is>
      </c>
      <c r="E13" s="4" t="inlineStr">
        <is>
          <t>Keterangan</t>
        </is>
      </c>
    </row>
    <row r="14" ht="20" customHeight="1">
      <c r="A14" s="6" t="inlineStr">
        <is>
          <t>Tanpa Kode Sales</t>
        </is>
      </c>
      <c r="B14" s="19" t="n">
        <v>0</v>
      </c>
      <c r="C14" s="19" t="n">
        <v>0.5</v>
      </c>
      <c r="D14" s="19" t="n">
        <v>0.5</v>
      </c>
      <c r="E14" s="8" t="inlineStr">
        <is>
          <t>Seluruh laba kotor dibagi rata CEO dan COO 50:50</t>
        </is>
      </c>
    </row>
    <row r="15" ht="20" customHeight="1">
      <c r="A15" s="10" t="inlineStr">
        <is>
          <t>Dengan Kode Sales (10%)</t>
        </is>
      </c>
      <c r="B15" s="22" t="n">
        <v>0.1</v>
      </c>
      <c r="C15" s="22" t="n">
        <v>0.45</v>
      </c>
      <c r="D15" s="22" t="n">
        <v>0.45</v>
      </c>
      <c r="E15" s="12" t="inlineStr">
        <is>
          <t>Sales 10%, sisa 90% dibagi rata CEO 45% &amp; COO 45%</t>
        </is>
      </c>
    </row>
    <row r="16" ht="20" customHeight="1">
      <c r="A16" s="6" t="inlineStr">
        <is>
          <t>Dengan Kode Sales (11%)</t>
        </is>
      </c>
      <c r="B16" s="19" t="n">
        <v>0.11</v>
      </c>
      <c r="C16" s="19" t="n">
        <v>0.445</v>
      </c>
      <c r="D16" s="19" t="n">
        <v>0.445</v>
      </c>
      <c r="E16" s="8" t="inlineStr">
        <is>
          <t>Sales 11%, sisa 89% dibagi rata CEO 44.5% &amp; COO 44.5%</t>
        </is>
      </c>
    </row>
    <row r="17" ht="20" customHeight="1">
      <c r="A17" s="10" t="inlineStr">
        <is>
          <t>Dengan Kode Sales (12%)</t>
        </is>
      </c>
      <c r="B17" s="22" t="n">
        <v>0.12</v>
      </c>
      <c r="C17" s="22" t="n">
        <v>0.44</v>
      </c>
      <c r="D17" s="22" t="n">
        <v>0.44</v>
      </c>
      <c r="E17" s="12" t="inlineStr">
        <is>
          <t>Sales 12%, sisa 88% dibagi rata CEO 44.0% &amp; COO 44.0%</t>
        </is>
      </c>
    </row>
    <row r="18" ht="20" customHeight="1">
      <c r="A18" s="6" t="inlineStr">
        <is>
          <t>Dengan Kode Sales (13%)</t>
        </is>
      </c>
      <c r="B18" s="19" t="n">
        <v>0.13</v>
      </c>
      <c r="C18" s="19" t="n">
        <v>0.435</v>
      </c>
      <c r="D18" s="19" t="n">
        <v>0.435</v>
      </c>
      <c r="E18" s="8" t="inlineStr">
        <is>
          <t>Sales 13%, sisa 87% dibagi rata CEO 43.5% &amp; COO 43.5%</t>
        </is>
      </c>
    </row>
    <row r="19" ht="20" customHeight="1">
      <c r="A19" s="10" t="inlineStr">
        <is>
          <t>Dengan Kode Sales (14%)</t>
        </is>
      </c>
      <c r="B19" s="22" t="n">
        <v>0.14</v>
      </c>
      <c r="C19" s="22" t="n">
        <v>0.43</v>
      </c>
      <c r="D19" s="22" t="n">
        <v>0.43</v>
      </c>
      <c r="E19" s="12" t="inlineStr">
        <is>
          <t>Sales 14%, sisa 86% dibagi rata CEO 43.0% &amp; COO 43.0%</t>
        </is>
      </c>
    </row>
    <row r="20" ht="20" customHeight="1">
      <c r="A20" s="6" t="inlineStr">
        <is>
          <t>Dengan Kode Sales (15%)</t>
        </is>
      </c>
      <c r="B20" s="19" t="n">
        <v>0.15</v>
      </c>
      <c r="C20" s="19" t="n">
        <v>0.425</v>
      </c>
      <c r="D20" s="19" t="n">
        <v>0.425</v>
      </c>
      <c r="E20" s="8" t="inlineStr">
        <is>
          <t>Sales 15%, sisa 85% dibagi rata CEO 42.5% &amp; COO 42.5%</t>
        </is>
      </c>
    </row>
    <row r="21"/>
    <row r="22"/>
    <row r="23">
      <c r="A23" s="3" t="inlineStr">
        <is>
          <t>3. KEBIJAKAN PROMO SALES &amp; BEBAN DISKON</t>
        </is>
      </c>
    </row>
    <row r="24" ht="18" customHeight="1">
      <c r="A24" s="34" t="inlineStr">
        <is>
          <t>• Besaran Diskon Customer: Kode promo Sales memberikan diskon 5% dengan batas maksimal Rp5.000.</t>
        </is>
      </c>
    </row>
    <row r="25" ht="18" customHeight="1">
      <c r="A25" s="34" t="inlineStr">
        <is>
          <t>• Formula Diskon: Actual Discount = MIN(Selling Price × 5%, Rp5.000).</t>
        </is>
      </c>
    </row>
    <row r="26" ht="18" customHeight="1">
      <c r="A26" s="34" t="inlineStr">
        <is>
          <t>• Beban Diskon 100% Ditanggung Manajemen: CEO menanggung 50% dan COO menanggung 50% dari diskon aktual.</t>
        </is>
      </c>
    </row>
    <row r="27" ht="18" customHeight="1">
      <c r="A27" s="34" t="inlineStr">
        <is>
          <t>• Komisi Sales Kebal Diskon: Sales TIDAK menanggung diskon sama sekali (Sales Promo Burden = Rp0). Komisi Sales tetap dihitung penuh dari Gross Profit awal.</t>
        </is>
      </c>
    </row>
    <row r="28" ht="18" customHeight="1">
      <c r="A28" s="34" t="inlineStr">
        <is>
          <t>• Wording Resmi Promo ke Customer: 'Gunakan kode promo untuk mendapatkan diskon 5% (maks. Rp5.000)'.</t>
        </is>
      </c>
    </row>
    <row r="29"/>
    <row r="30">
      <c r="A30" s="3" t="inlineStr">
        <is>
          <t>4. URUTAN KALKULASI &amp; CONTOH STUDI KASUS NYATA</t>
        </is>
      </c>
    </row>
    <row r="31" ht="18" customHeight="1">
      <c r="A31" s="35" t="inlineStr">
        <is>
          <t>1. Selling Price = Rp100.000 | Cost Price = Rp70.000</t>
        </is>
      </c>
    </row>
    <row r="32" ht="18" customHeight="1">
      <c r="A32" s="35" t="inlineStr">
        <is>
          <t>2. Gross Profit = Rp100.000 - Rp70.000 = Rp30.000</t>
        </is>
      </c>
    </row>
    <row r="33" ht="18" customHeight="1">
      <c r="A33" s="35" t="inlineStr">
        <is>
          <t>3. Sales Commission Rate = 15%</t>
        </is>
      </c>
    </row>
    <row r="34" ht="18" customHeight="1">
      <c r="A34" s="35" t="inlineStr">
        <is>
          <t>4. Sales Commission Amount = 15% × Rp30.000 = Rp4.500</t>
        </is>
      </c>
    </row>
    <row r="35" ht="18" customHeight="1">
      <c r="A35" s="35" t="inlineStr">
        <is>
          <t>5. Sisa Gross Profit = Rp30.000 - Rp4.500 = Rp25.500</t>
        </is>
      </c>
    </row>
    <row r="36" ht="18" customHeight="1">
      <c r="A36" s="35" t="inlineStr">
        <is>
          <t>6. CEO Gross Share = Rp25.500 / 2 = Rp12.750 | COO Gross Share = Rp25.500 / 2 = Rp12.750</t>
        </is>
      </c>
    </row>
    <row r="37" ht="18" customHeight="1">
      <c r="A37" s="35" t="inlineStr">
        <is>
          <t>7. Actual Customer Discount = MIN(Rp100.000 × 5%, Rp5.000) = Rp5.000 (Pelanggan membayar Rp95.000)</t>
        </is>
      </c>
    </row>
    <row r="38" ht="18" customHeight="1">
      <c r="A38" s="35" t="inlineStr">
        <is>
          <t>8. Alokasi Beban Diskon: CEO Burden = 50% × Rp5.000 = Rp2.500 | COO Burden = 50% × Rp5.000 = Rp2.500 | Sales Burden = Rp0</t>
        </is>
      </c>
    </row>
    <row r="39" ht="18" customHeight="1">
      <c r="A39" s="35" t="inlineStr">
        <is>
          <t>9. CEO Final Income = Rp12.750 - Rp2.500 = Rp10.250</t>
        </is>
      </c>
    </row>
    <row r="40" ht="18" customHeight="1">
      <c r="A40" s="35" t="inlineStr">
        <is>
          <t>10. COO Final Income = Rp12.750 - Rp2.500 = Rp10.250</t>
        </is>
      </c>
    </row>
    <row r="41" ht="18" customHeight="1">
      <c r="A41" s="35" t="inlineStr">
        <is>
          <t>11. Sales Final Income = Rp4.500 (Penuh, tidak terpotong diskon)</t>
        </is>
      </c>
    </row>
    <row r="42" ht="18" customHeight="1">
      <c r="A42" s="35" t="inlineStr">
        <is>
          <t>12. Total Profit Bisnis Setelah Promo = Rp10.250 + Rp10.250 + Rp4.500 = Rp25.000 (Tepat sama dengan Gross Profit Rp30.000 - Diskon Rp5.000)</t>
        </is>
      </c>
    </row>
  </sheetData>
  <mergeCells count="25">
    <mergeCell ref="A32:G32"/>
    <mergeCell ref="A8:G8"/>
    <mergeCell ref="A35:G35"/>
    <mergeCell ref="A38:G38"/>
    <mergeCell ref="A42:G42"/>
    <mergeCell ref="A10:G10"/>
    <mergeCell ref="A28:G28"/>
    <mergeCell ref="A40:G40"/>
    <mergeCell ref="A9:G9"/>
    <mergeCell ref="A31:G31"/>
    <mergeCell ref="A39:G39"/>
    <mergeCell ref="A34:G34"/>
    <mergeCell ref="A24:G24"/>
    <mergeCell ref="A36:G36"/>
    <mergeCell ref="A1:G1"/>
    <mergeCell ref="A6:G6"/>
    <mergeCell ref="A7:G7"/>
    <mergeCell ref="A25:G25"/>
    <mergeCell ref="A41:G41"/>
    <mergeCell ref="A37:G37"/>
    <mergeCell ref="A27:G27"/>
    <mergeCell ref="A26:G26"/>
    <mergeCell ref="A2:G2"/>
    <mergeCell ref="A33:G33"/>
    <mergeCell ref="A5:G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42"/>
  <sheetViews>
    <sheetView showGridLines="1"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3" customWidth="1" min="4" max="4"/>
    <col width="23" customWidth="1" min="5" max="5"/>
    <col width="18" customWidth="1" min="6" max="6"/>
    <col width="18" customWidth="1" min="7" max="7"/>
    <col width="18" customWidth="1" min="8" max="8"/>
    <col width="20" customWidth="1" min="9" max="9"/>
    <col width="18" customWidth="1" min="10" max="10"/>
    <col width="18" customWidth="1" min="11" max="11"/>
    <col width="18" customWidth="1" min="12" max="12"/>
    <col width="21" customWidth="1" min="13" max="13"/>
    <col width="21" customWidth="1" min="14" max="14"/>
    <col width="29" customWidth="1" min="15" max="15"/>
    <col width="29" customWidth="1" min="16" max="16"/>
    <col width="29" customWidth="1" min="17" max="17"/>
    <col width="29" customWidth="1" min="18" max="18"/>
    <col width="24" customWidth="1" min="19" max="19"/>
    <col width="66" customWidth="1" min="20" max="20"/>
    <col width="118" customWidth="1" min="21" max="21"/>
  </cols>
  <sheetData>
    <row r="1" ht="28" customHeight="1">
      <c r="A1" s="1" t="inlineStr">
        <is>
          <t>ASTERRA STORE — SIMULASI DAMPAK DISKON PROMO SALES (5% MAKS. RP5.000)</t>
        </is>
      </c>
    </row>
    <row r="2" ht="18" customHeight="1">
      <c r="A2" s="2" t="inlineStr">
        <is>
          <t>Simulasi Diskon Customer 5% (Maks. Rp5.000) Ditanggung 50% CEO &amp; 50% COO | Sales Tetap Menerima Komisi Penuh</t>
        </is>
      </c>
    </row>
    <row r="3"/>
    <row r="4" ht="28" customHeight="1">
      <c r="A4" s="4" t="inlineStr">
        <is>
          <t>No</t>
        </is>
      </c>
      <c r="B4" s="4" t="inlineStr">
        <is>
          <t>Product ID</t>
        </is>
      </c>
      <c r="C4" s="4" t="inlineStr">
        <is>
          <t>Product Name</t>
        </is>
      </c>
      <c r="D4" s="4" t="inlineStr">
        <is>
          <t>Selling Price</t>
        </is>
      </c>
      <c r="E4" s="4" t="inlineStr">
        <is>
          <t>Cost Price</t>
        </is>
      </c>
      <c r="F4" s="4" t="inlineStr">
        <is>
          <t>Gross Profit</t>
        </is>
      </c>
      <c r="G4" s="4" t="inlineStr">
        <is>
          <t>Promo Rate</t>
        </is>
      </c>
      <c r="H4" s="4" t="inlineStr">
        <is>
          <t>Max Discount Cap</t>
        </is>
      </c>
      <c r="I4" s="4" t="inlineStr">
        <is>
          <t>Customer Discount</t>
        </is>
      </c>
      <c r="J4" s="4" t="inlineStr">
        <is>
          <t>Net Price Paid</t>
        </is>
      </c>
      <c r="K4" s="4" t="inlineStr">
        <is>
          <t>Sales Comm @10%</t>
        </is>
      </c>
      <c r="L4" s="4" t="inlineStr">
        <is>
          <t>Sales Comm @15%</t>
        </is>
      </c>
      <c r="M4" s="4" t="inlineStr">
        <is>
          <t>CEO Discount Burden</t>
        </is>
      </c>
      <c r="N4" s="4" t="inlineStr">
        <is>
          <t>COO Discount Burden</t>
        </is>
      </c>
      <c r="O4" s="4" t="inlineStr">
        <is>
          <t>CEO Net Income (@10% Sales)</t>
        </is>
      </c>
      <c r="P4" s="4" t="inlineStr">
        <is>
          <t>CEO Net Income (@15% Sales)</t>
        </is>
      </c>
      <c r="Q4" s="4" t="inlineStr">
        <is>
          <t>COO Net Income (@10% Sales)</t>
        </is>
      </c>
      <c r="R4" s="4" t="inlineStr">
        <is>
          <t>COO Net Income (@15% Sales)</t>
        </is>
      </c>
      <c r="S4" s="4" t="inlineStr">
        <is>
          <t>Net Profit After Promo</t>
        </is>
      </c>
      <c r="T4" s="4" t="inlineStr">
        <is>
          <t>Promo Viability Status</t>
        </is>
      </c>
      <c r="U4" s="4" t="inlineStr">
        <is>
          <t>Strategic Recommendation</t>
        </is>
      </c>
    </row>
    <row r="5" ht="20" customHeight="1">
      <c r="A5" s="9">
        <f>PRICING_ANALYSIS!A5</f>
        <v/>
      </c>
      <c r="B5" s="28">
        <f>PRICING_ANALYSIS!B5</f>
        <v/>
      </c>
      <c r="C5" s="12">
        <f>PRICING_ANALYSIS!C5</f>
        <v/>
      </c>
      <c r="D5" s="21">
        <f>PRICING_ANALYSIS!F5</f>
        <v/>
      </c>
      <c r="E5" s="21">
        <f>PRICING_ANALYSIS!E5</f>
        <v/>
      </c>
      <c r="F5" s="21">
        <f>D5-E5</f>
        <v/>
      </c>
      <c r="G5" s="22" t="n">
        <v>0.05</v>
      </c>
      <c r="H5" s="21" t="n">
        <v>5000</v>
      </c>
      <c r="I5" s="21">
        <f>MIN(D5*G5, H5)</f>
        <v/>
      </c>
      <c r="J5" s="21">
        <f>D5-I5</f>
        <v/>
      </c>
      <c r="K5" s="21">
        <f>F5*0.10</f>
        <v/>
      </c>
      <c r="L5" s="21">
        <f>F5*0.15</f>
        <v/>
      </c>
      <c r="M5" s="21">
        <f>I5*0.5</f>
        <v/>
      </c>
      <c r="N5" s="21">
        <f>I5*0.5</f>
        <v/>
      </c>
      <c r="O5" s="21">
        <f>((F5-K5)/2)-M5</f>
        <v/>
      </c>
      <c r="P5" s="21">
        <f>((F5-L5)/2)-M5</f>
        <v/>
      </c>
      <c r="Q5" s="21">
        <f>((F5-K5)/2)-N5</f>
        <v/>
      </c>
      <c r="R5" s="21">
        <f>((F5-L5)/2)-N5</f>
        <v/>
      </c>
      <c r="S5" s="21">
        <f>F5-I5</f>
        <v/>
      </c>
      <c r="T5" s="32">
        <f>IF(P5&lt;=0,"DEFICIT RISK",IF(P5&lt;1000,"TIGHT MARGIN","HEALTHY"))</f>
        <v/>
      </c>
      <c r="U5" s="12" t="inlineStr">
        <is>
          <t>Laba CEO/COO setelah promo tipis (&lt; Rp1.000); rekomendasikan komisi Sales maksimal 10% untuk menjaga profitabilitas.</t>
        </is>
      </c>
    </row>
    <row r="6" ht="20" customHeight="1">
      <c r="A6" s="5">
        <f>PRICING_ANALYSIS!A6</f>
        <v/>
      </c>
      <c r="B6" s="29">
        <f>PRICING_ANALYSIS!B6</f>
        <v/>
      </c>
      <c r="C6" s="8">
        <f>PRICING_ANALYSIS!C6</f>
        <v/>
      </c>
      <c r="D6" s="18">
        <f>PRICING_ANALYSIS!F6</f>
        <v/>
      </c>
      <c r="E6" s="18">
        <f>PRICING_ANALYSIS!E6</f>
        <v/>
      </c>
      <c r="F6" s="18">
        <f>D6-E6</f>
        <v/>
      </c>
      <c r="G6" s="19" t="n">
        <v>0.05</v>
      </c>
      <c r="H6" s="18" t="n">
        <v>5000</v>
      </c>
      <c r="I6" s="18">
        <f>MIN(D6*G6, H6)</f>
        <v/>
      </c>
      <c r="J6" s="18">
        <f>D6-I6</f>
        <v/>
      </c>
      <c r="K6" s="18">
        <f>F6*0.10</f>
        <v/>
      </c>
      <c r="L6" s="18">
        <f>F6*0.15</f>
        <v/>
      </c>
      <c r="M6" s="18">
        <f>I6*0.5</f>
        <v/>
      </c>
      <c r="N6" s="18">
        <f>I6*0.5</f>
        <v/>
      </c>
      <c r="O6" s="18">
        <f>((F6-K6)/2)-M6</f>
        <v/>
      </c>
      <c r="P6" s="18">
        <f>((F6-L6)/2)-M6</f>
        <v/>
      </c>
      <c r="Q6" s="18">
        <f>((F6-K6)/2)-N6</f>
        <v/>
      </c>
      <c r="R6" s="18">
        <f>((F6-L6)/2)-N6</f>
        <v/>
      </c>
      <c r="S6" s="18">
        <f>F6-I6</f>
        <v/>
      </c>
      <c r="T6" s="32">
        <f>IF(P6&lt;=0,"DEFICIT RISK",IF(P6&lt;1000,"TIGHT MARGIN","HEALTHY"))</f>
        <v/>
      </c>
      <c r="U6" s="8" t="inlineStr">
        <is>
          <t>Laba CEO/COO setelah promo tipis (&lt; Rp1.000); rekomendasikan komisi Sales maksimal 10% untuk menjaga profitabilitas.</t>
        </is>
      </c>
    </row>
    <row r="7" ht="20" customHeight="1">
      <c r="A7" s="9">
        <f>PRICING_ANALYSIS!A7</f>
        <v/>
      </c>
      <c r="B7" s="28">
        <f>PRICING_ANALYSIS!B7</f>
        <v/>
      </c>
      <c r="C7" s="12">
        <f>PRICING_ANALYSIS!C7</f>
        <v/>
      </c>
      <c r="D7" s="21">
        <f>PRICING_ANALYSIS!F7</f>
        <v/>
      </c>
      <c r="E7" s="21">
        <f>PRICING_ANALYSIS!E7</f>
        <v/>
      </c>
      <c r="F7" s="21">
        <f>D7-E7</f>
        <v/>
      </c>
      <c r="G7" s="22" t="n">
        <v>0.05</v>
      </c>
      <c r="H7" s="21" t="n">
        <v>5000</v>
      </c>
      <c r="I7" s="21">
        <f>MIN(D7*G7, H7)</f>
        <v/>
      </c>
      <c r="J7" s="21">
        <f>D7-I7</f>
        <v/>
      </c>
      <c r="K7" s="21">
        <f>F7*0.10</f>
        <v/>
      </c>
      <c r="L7" s="21">
        <f>F7*0.15</f>
        <v/>
      </c>
      <c r="M7" s="21">
        <f>I7*0.5</f>
        <v/>
      </c>
      <c r="N7" s="21">
        <f>I7*0.5</f>
        <v/>
      </c>
      <c r="O7" s="21">
        <f>((F7-K7)/2)-M7</f>
        <v/>
      </c>
      <c r="P7" s="21">
        <f>((F7-L7)/2)-M7</f>
        <v/>
      </c>
      <c r="Q7" s="21">
        <f>((F7-K7)/2)-N7</f>
        <v/>
      </c>
      <c r="R7" s="21">
        <f>((F7-L7)/2)-N7</f>
        <v/>
      </c>
      <c r="S7" s="21">
        <f>F7-I7</f>
        <v/>
      </c>
      <c r="T7" s="31">
        <f>IF(P7&lt;=0,"DEFICIT RISK",IF(P7&lt;1000,"TIGHT MARGIN","HEALTHY"))</f>
        <v/>
      </c>
      <c r="U7" s="12" t="inlineStr">
        <is>
          <t>Margin tebal; aman untuk promo 5% maksimal Rp5.000 dan komisi sales 10%-15%.</t>
        </is>
      </c>
    </row>
    <row r="8" ht="20" customHeight="1">
      <c r="A8" s="5">
        <f>PRICING_ANALYSIS!A8</f>
        <v/>
      </c>
      <c r="B8" s="29">
        <f>PRICING_ANALYSIS!B8</f>
        <v/>
      </c>
      <c r="C8" s="8">
        <f>PRICING_ANALYSIS!C8</f>
        <v/>
      </c>
      <c r="D8" s="18">
        <f>PRICING_ANALYSIS!F8</f>
        <v/>
      </c>
      <c r="E8" s="18">
        <f>PRICING_ANALYSIS!E8</f>
        <v/>
      </c>
      <c r="F8" s="18">
        <f>D8-E8</f>
        <v/>
      </c>
      <c r="G8" s="19" t="n">
        <v>0.05</v>
      </c>
      <c r="H8" s="18" t="n">
        <v>5000</v>
      </c>
      <c r="I8" s="18">
        <f>MIN(D8*G8, H8)</f>
        <v/>
      </c>
      <c r="J8" s="18">
        <f>D8-I8</f>
        <v/>
      </c>
      <c r="K8" s="18">
        <f>F8*0.10</f>
        <v/>
      </c>
      <c r="L8" s="18">
        <f>F8*0.15</f>
        <v/>
      </c>
      <c r="M8" s="18">
        <f>I8*0.5</f>
        <v/>
      </c>
      <c r="N8" s="18">
        <f>I8*0.5</f>
        <v/>
      </c>
      <c r="O8" s="18">
        <f>((F8-K8)/2)-M8</f>
        <v/>
      </c>
      <c r="P8" s="18">
        <f>((F8-L8)/2)-M8</f>
        <v/>
      </c>
      <c r="Q8" s="18">
        <f>((F8-K8)/2)-N8</f>
        <v/>
      </c>
      <c r="R8" s="18">
        <f>((F8-L8)/2)-N8</f>
        <v/>
      </c>
      <c r="S8" s="18">
        <f>F8-I8</f>
        <v/>
      </c>
      <c r="T8" s="32">
        <f>IF(P8&lt;=0,"DEFICIT RISK",IF(P8&lt;1000,"TIGHT MARGIN","HEALTHY"))</f>
        <v/>
      </c>
      <c r="U8" s="8" t="inlineStr">
        <is>
          <t>Laba CEO/COO setelah promo tipis (&lt; Rp1.000); rekomendasikan komisi Sales maksimal 10% untuk menjaga profitabilitas.</t>
        </is>
      </c>
    </row>
    <row r="9" ht="20" customHeight="1">
      <c r="A9" s="9">
        <f>PRICING_ANALYSIS!A9</f>
        <v/>
      </c>
      <c r="B9" s="28">
        <f>PRICING_ANALYSIS!B9</f>
        <v/>
      </c>
      <c r="C9" s="12">
        <f>PRICING_ANALYSIS!C9</f>
        <v/>
      </c>
      <c r="D9" s="21">
        <f>PRICING_ANALYSIS!F9</f>
        <v/>
      </c>
      <c r="E9" s="21">
        <f>PRICING_ANALYSIS!E9</f>
        <v/>
      </c>
      <c r="F9" s="21">
        <f>D9-E9</f>
        <v/>
      </c>
      <c r="G9" s="22" t="n">
        <v>0.05</v>
      </c>
      <c r="H9" s="21" t="n">
        <v>5000</v>
      </c>
      <c r="I9" s="21">
        <f>MIN(D9*G9, H9)</f>
        <v/>
      </c>
      <c r="J9" s="21">
        <f>D9-I9</f>
        <v/>
      </c>
      <c r="K9" s="21">
        <f>F9*0.10</f>
        <v/>
      </c>
      <c r="L9" s="21">
        <f>F9*0.15</f>
        <v/>
      </c>
      <c r="M9" s="21">
        <f>I9*0.5</f>
        <v/>
      </c>
      <c r="N9" s="21">
        <f>I9*0.5</f>
        <v/>
      </c>
      <c r="O9" s="21">
        <f>((F9-K9)/2)-M9</f>
        <v/>
      </c>
      <c r="P9" s="21">
        <f>((F9-L9)/2)-M9</f>
        <v/>
      </c>
      <c r="Q9" s="21">
        <f>((F9-K9)/2)-N9</f>
        <v/>
      </c>
      <c r="R9" s="21">
        <f>((F9-L9)/2)-N9</f>
        <v/>
      </c>
      <c r="S9" s="21">
        <f>F9-I9</f>
        <v/>
      </c>
      <c r="T9" s="32">
        <f>IF(P9&lt;=0,"DEFICIT RISK",IF(P9&lt;1000,"TIGHT MARGIN","HEALTHY"))</f>
        <v/>
      </c>
      <c r="U9" s="12" t="inlineStr">
        <is>
          <t>Laba CEO/COO setelah promo tipis (&lt; Rp1.000); rekomendasikan komisi Sales maksimal 10% untuk menjaga profitabilitas.</t>
        </is>
      </c>
    </row>
    <row r="10" ht="20" customHeight="1">
      <c r="A10" s="5">
        <f>PRICING_ANALYSIS!A10</f>
        <v/>
      </c>
      <c r="B10" s="29">
        <f>PRICING_ANALYSIS!B10</f>
        <v/>
      </c>
      <c r="C10" s="8">
        <f>PRICING_ANALYSIS!C10</f>
        <v/>
      </c>
      <c r="D10" s="18">
        <f>PRICING_ANALYSIS!F10</f>
        <v/>
      </c>
      <c r="E10" s="18">
        <f>PRICING_ANALYSIS!E10</f>
        <v/>
      </c>
      <c r="F10" s="18">
        <f>D10-E10</f>
        <v/>
      </c>
      <c r="G10" s="19" t="n">
        <v>0.05</v>
      </c>
      <c r="H10" s="18" t="n">
        <v>5000</v>
      </c>
      <c r="I10" s="18">
        <f>MIN(D10*G10, H10)</f>
        <v/>
      </c>
      <c r="J10" s="18">
        <f>D10-I10</f>
        <v/>
      </c>
      <c r="K10" s="18">
        <f>F10*0.10</f>
        <v/>
      </c>
      <c r="L10" s="18">
        <f>F10*0.15</f>
        <v/>
      </c>
      <c r="M10" s="18">
        <f>I10*0.5</f>
        <v/>
      </c>
      <c r="N10" s="18">
        <f>I10*0.5</f>
        <v/>
      </c>
      <c r="O10" s="18">
        <f>((F10-K10)/2)-M10</f>
        <v/>
      </c>
      <c r="P10" s="18">
        <f>((F10-L10)/2)-M10</f>
        <v/>
      </c>
      <c r="Q10" s="18">
        <f>((F10-K10)/2)-N10</f>
        <v/>
      </c>
      <c r="R10" s="18">
        <f>((F10-L10)/2)-N10</f>
        <v/>
      </c>
      <c r="S10" s="18">
        <f>F10-I10</f>
        <v/>
      </c>
      <c r="T10" s="32">
        <f>IF(P10&lt;=0,"DEFICIT RISK",IF(P10&lt;1000,"TIGHT MARGIN","HEALTHY"))</f>
        <v/>
      </c>
      <c r="U10" s="8" t="inlineStr">
        <is>
          <t>Laba CEO/COO setelah promo tipis (&lt; Rp1.000); rekomendasikan komisi Sales maksimal 10% untuk menjaga profitabilitas.</t>
        </is>
      </c>
    </row>
    <row r="11" ht="20" customHeight="1">
      <c r="A11" s="9">
        <f>PRICING_ANALYSIS!A11</f>
        <v/>
      </c>
      <c r="B11" s="28">
        <f>PRICING_ANALYSIS!B11</f>
        <v/>
      </c>
      <c r="C11" s="12">
        <f>PRICING_ANALYSIS!C11</f>
        <v/>
      </c>
      <c r="D11" s="21">
        <f>PRICING_ANALYSIS!F11</f>
        <v/>
      </c>
      <c r="E11" s="21">
        <f>PRICING_ANALYSIS!E11</f>
        <v/>
      </c>
      <c r="F11" s="21">
        <f>D11-E11</f>
        <v/>
      </c>
      <c r="G11" s="22" t="n">
        <v>0.05</v>
      </c>
      <c r="H11" s="21" t="n">
        <v>5000</v>
      </c>
      <c r="I11" s="21">
        <f>MIN(D11*G11, H11)</f>
        <v/>
      </c>
      <c r="J11" s="21">
        <f>D11-I11</f>
        <v/>
      </c>
      <c r="K11" s="21">
        <f>F11*0.10</f>
        <v/>
      </c>
      <c r="L11" s="21">
        <f>F11*0.15</f>
        <v/>
      </c>
      <c r="M11" s="21">
        <f>I11*0.5</f>
        <v/>
      </c>
      <c r="N11" s="21">
        <f>I11*0.5</f>
        <v/>
      </c>
      <c r="O11" s="21">
        <f>((F11-K11)/2)-M11</f>
        <v/>
      </c>
      <c r="P11" s="21">
        <f>((F11-L11)/2)-M11</f>
        <v/>
      </c>
      <c r="Q11" s="21">
        <f>((F11-K11)/2)-N11</f>
        <v/>
      </c>
      <c r="R11" s="21">
        <f>((F11-L11)/2)-N11</f>
        <v/>
      </c>
      <c r="S11" s="21">
        <f>F11-I11</f>
        <v/>
      </c>
      <c r="T11" s="32">
        <f>IF(P11&lt;=0,"DEFICIT RISK",IF(P11&lt;1000,"TIGHT MARGIN","HEALTHY"))</f>
        <v/>
      </c>
      <c r="U11" s="12" t="inlineStr">
        <is>
          <t>Laba CEO/COO setelah promo tipis (&lt; Rp1.000); rekomendasikan komisi Sales maksimal 10% untuk menjaga profitabilitas.</t>
        </is>
      </c>
    </row>
    <row r="12" ht="20" customHeight="1">
      <c r="A12" s="5">
        <f>PRICING_ANALYSIS!A12</f>
        <v/>
      </c>
      <c r="B12" s="29">
        <f>PRICING_ANALYSIS!B12</f>
        <v/>
      </c>
      <c r="C12" s="8">
        <f>PRICING_ANALYSIS!C12</f>
        <v/>
      </c>
      <c r="D12" s="18">
        <f>PRICING_ANALYSIS!F12</f>
        <v/>
      </c>
      <c r="E12" s="18">
        <f>PRICING_ANALYSIS!E12</f>
        <v/>
      </c>
      <c r="F12" s="18">
        <f>D12-E12</f>
        <v/>
      </c>
      <c r="G12" s="19" t="n">
        <v>0.05</v>
      </c>
      <c r="H12" s="18" t="n">
        <v>5000</v>
      </c>
      <c r="I12" s="18">
        <f>MIN(D12*G12, H12)</f>
        <v/>
      </c>
      <c r="J12" s="18">
        <f>D12-I12</f>
        <v/>
      </c>
      <c r="K12" s="18">
        <f>F12*0.10</f>
        <v/>
      </c>
      <c r="L12" s="18">
        <f>F12*0.15</f>
        <v/>
      </c>
      <c r="M12" s="18">
        <f>I12*0.5</f>
        <v/>
      </c>
      <c r="N12" s="18">
        <f>I12*0.5</f>
        <v/>
      </c>
      <c r="O12" s="18">
        <f>((F12-K12)/2)-M12</f>
        <v/>
      </c>
      <c r="P12" s="18">
        <f>((F12-L12)/2)-M12</f>
        <v/>
      </c>
      <c r="Q12" s="18">
        <f>((F12-K12)/2)-N12</f>
        <v/>
      </c>
      <c r="R12" s="18">
        <f>((F12-L12)/2)-N12</f>
        <v/>
      </c>
      <c r="S12" s="18">
        <f>F12-I12</f>
        <v/>
      </c>
      <c r="T12" s="32">
        <f>IF(P12&lt;=0,"DEFICIT RISK",IF(P12&lt;1000,"TIGHT MARGIN","HEALTHY"))</f>
        <v/>
      </c>
      <c r="U12" s="8" t="inlineStr">
        <is>
          <t>Laba CEO/COO setelah promo tipis (&lt; Rp1.000); rekomendasikan komisi Sales maksimal 10% untuk menjaga profitabilitas.</t>
        </is>
      </c>
    </row>
    <row r="13" ht="20" customHeight="1">
      <c r="A13" s="9">
        <f>PRICING_ANALYSIS!A13</f>
        <v/>
      </c>
      <c r="B13" s="28">
        <f>PRICING_ANALYSIS!B13</f>
        <v/>
      </c>
      <c r="C13" s="12">
        <f>PRICING_ANALYSIS!C13</f>
        <v/>
      </c>
      <c r="D13" s="21">
        <f>PRICING_ANALYSIS!F13</f>
        <v/>
      </c>
      <c r="E13" s="21">
        <f>PRICING_ANALYSIS!E13</f>
        <v/>
      </c>
      <c r="F13" s="21">
        <f>D13-E13</f>
        <v/>
      </c>
      <c r="G13" s="22" t="n">
        <v>0.05</v>
      </c>
      <c r="H13" s="21" t="n">
        <v>5000</v>
      </c>
      <c r="I13" s="21">
        <f>MIN(D13*G13, H13)</f>
        <v/>
      </c>
      <c r="J13" s="21">
        <f>D13-I13</f>
        <v/>
      </c>
      <c r="K13" s="21">
        <f>F13*0.10</f>
        <v/>
      </c>
      <c r="L13" s="21">
        <f>F13*0.15</f>
        <v/>
      </c>
      <c r="M13" s="21">
        <f>I13*0.5</f>
        <v/>
      </c>
      <c r="N13" s="21">
        <f>I13*0.5</f>
        <v/>
      </c>
      <c r="O13" s="21">
        <f>((F13-K13)/2)-M13</f>
        <v/>
      </c>
      <c r="P13" s="21">
        <f>((F13-L13)/2)-M13</f>
        <v/>
      </c>
      <c r="Q13" s="21">
        <f>((F13-K13)/2)-N13</f>
        <v/>
      </c>
      <c r="R13" s="21">
        <f>((F13-L13)/2)-N13</f>
        <v/>
      </c>
      <c r="S13" s="21">
        <f>F13-I13</f>
        <v/>
      </c>
      <c r="T13" s="31">
        <f>IF(P13&lt;=0,"DEFICIT RISK",IF(P13&lt;1000,"TIGHT MARGIN","HEALTHY"))</f>
        <v/>
      </c>
      <c r="U13" s="12" t="inlineStr">
        <is>
          <t>Margin tebal; aman untuk promo 5% maksimal Rp5.000 dan komisi sales 10%-15%.</t>
        </is>
      </c>
    </row>
    <row r="14" ht="20" customHeight="1">
      <c r="A14" s="5">
        <f>PRICING_ANALYSIS!A14</f>
        <v/>
      </c>
      <c r="B14" s="29">
        <f>PRICING_ANALYSIS!B14</f>
        <v/>
      </c>
      <c r="C14" s="8">
        <f>PRICING_ANALYSIS!C14</f>
        <v/>
      </c>
      <c r="D14" s="18">
        <f>PRICING_ANALYSIS!F14</f>
        <v/>
      </c>
      <c r="E14" s="18">
        <f>PRICING_ANALYSIS!E14</f>
        <v/>
      </c>
      <c r="F14" s="18">
        <f>D14-E14</f>
        <v/>
      </c>
      <c r="G14" s="19" t="n">
        <v>0.05</v>
      </c>
      <c r="H14" s="18" t="n">
        <v>5000</v>
      </c>
      <c r="I14" s="18">
        <f>MIN(D14*G14, H14)</f>
        <v/>
      </c>
      <c r="J14" s="18">
        <f>D14-I14</f>
        <v/>
      </c>
      <c r="K14" s="18">
        <f>F14*0.10</f>
        <v/>
      </c>
      <c r="L14" s="18">
        <f>F14*0.15</f>
        <v/>
      </c>
      <c r="M14" s="18">
        <f>I14*0.5</f>
        <v/>
      </c>
      <c r="N14" s="18">
        <f>I14*0.5</f>
        <v/>
      </c>
      <c r="O14" s="18">
        <f>((F14-K14)/2)-M14</f>
        <v/>
      </c>
      <c r="P14" s="18">
        <f>((F14-L14)/2)-M14</f>
        <v/>
      </c>
      <c r="Q14" s="18">
        <f>((F14-K14)/2)-N14</f>
        <v/>
      </c>
      <c r="R14" s="18">
        <f>((F14-L14)/2)-N14</f>
        <v/>
      </c>
      <c r="S14" s="18">
        <f>F14-I14</f>
        <v/>
      </c>
      <c r="T14" s="31">
        <f>IF(P14&lt;=0,"DEFICIT RISK",IF(P14&lt;1000,"TIGHT MARGIN","HEALTHY"))</f>
        <v/>
      </c>
      <c r="U14" s="8" t="inlineStr">
        <is>
          <t>Margin tebal; aman untuk promo 5% maksimal Rp5.000 dan komisi sales 10%-15%.</t>
        </is>
      </c>
    </row>
    <row r="15" ht="20" customHeight="1">
      <c r="A15" s="9">
        <f>PRICING_ANALYSIS!A15</f>
        <v/>
      </c>
      <c r="B15" s="28">
        <f>PRICING_ANALYSIS!B15</f>
        <v/>
      </c>
      <c r="C15" s="12">
        <f>PRICING_ANALYSIS!C15</f>
        <v/>
      </c>
      <c r="D15" s="21">
        <f>PRICING_ANALYSIS!F15</f>
        <v/>
      </c>
      <c r="E15" s="21">
        <f>PRICING_ANALYSIS!E15</f>
        <v/>
      </c>
      <c r="F15" s="21">
        <f>D15-E15</f>
        <v/>
      </c>
      <c r="G15" s="22" t="n">
        <v>0.05</v>
      </c>
      <c r="H15" s="21" t="n">
        <v>5000</v>
      </c>
      <c r="I15" s="21">
        <f>MIN(D15*G15, H15)</f>
        <v/>
      </c>
      <c r="J15" s="21">
        <f>D15-I15</f>
        <v/>
      </c>
      <c r="K15" s="21">
        <f>F15*0.10</f>
        <v/>
      </c>
      <c r="L15" s="21">
        <f>F15*0.15</f>
        <v/>
      </c>
      <c r="M15" s="21">
        <f>I15*0.5</f>
        <v/>
      </c>
      <c r="N15" s="21">
        <f>I15*0.5</f>
        <v/>
      </c>
      <c r="O15" s="21">
        <f>((F15-K15)/2)-M15</f>
        <v/>
      </c>
      <c r="P15" s="21">
        <f>((F15-L15)/2)-M15</f>
        <v/>
      </c>
      <c r="Q15" s="21">
        <f>((F15-K15)/2)-N15</f>
        <v/>
      </c>
      <c r="R15" s="21">
        <f>((F15-L15)/2)-N15</f>
        <v/>
      </c>
      <c r="S15" s="21">
        <f>F15-I15</f>
        <v/>
      </c>
      <c r="T15" s="31">
        <f>IF(P15&lt;=0,"DEFICIT RISK",IF(P15&lt;1000,"TIGHT MARGIN","HEALTHY"))</f>
        <v/>
      </c>
      <c r="U15" s="12" t="inlineStr">
        <is>
          <t>Margin tebal; aman untuk promo 5% maksimal Rp5.000 dan komisi sales 10%-15%.</t>
        </is>
      </c>
    </row>
    <row r="16" ht="20" customHeight="1">
      <c r="A16" s="5">
        <f>PRICING_ANALYSIS!A16</f>
        <v/>
      </c>
      <c r="B16" s="29">
        <f>PRICING_ANALYSIS!B16</f>
        <v/>
      </c>
      <c r="C16" s="8">
        <f>PRICING_ANALYSIS!C16</f>
        <v/>
      </c>
      <c r="D16" s="18">
        <f>PRICING_ANALYSIS!F16</f>
        <v/>
      </c>
      <c r="E16" s="18">
        <f>PRICING_ANALYSIS!E16</f>
        <v/>
      </c>
      <c r="F16" s="18">
        <f>D16-E16</f>
        <v/>
      </c>
      <c r="G16" s="19" t="n">
        <v>0.05</v>
      </c>
      <c r="H16" s="18" t="n">
        <v>5000</v>
      </c>
      <c r="I16" s="18">
        <f>MIN(D16*G16, H16)</f>
        <v/>
      </c>
      <c r="J16" s="18">
        <f>D16-I16</f>
        <v/>
      </c>
      <c r="K16" s="18">
        <f>F16*0.10</f>
        <v/>
      </c>
      <c r="L16" s="18">
        <f>F16*0.15</f>
        <v/>
      </c>
      <c r="M16" s="18">
        <f>I16*0.5</f>
        <v/>
      </c>
      <c r="N16" s="18">
        <f>I16*0.5</f>
        <v/>
      </c>
      <c r="O16" s="18">
        <f>((F16-K16)/2)-M16</f>
        <v/>
      </c>
      <c r="P16" s="18">
        <f>((F16-L16)/2)-M16</f>
        <v/>
      </c>
      <c r="Q16" s="18">
        <f>((F16-K16)/2)-N16</f>
        <v/>
      </c>
      <c r="R16" s="18">
        <f>((F16-L16)/2)-N16</f>
        <v/>
      </c>
      <c r="S16" s="18">
        <f>F16-I16</f>
        <v/>
      </c>
      <c r="T16" s="31">
        <f>IF(P16&lt;=0,"DEFICIT RISK",IF(P16&lt;1000,"TIGHT MARGIN","HEALTHY"))</f>
        <v/>
      </c>
      <c r="U16" s="8" t="inlineStr">
        <is>
          <t>Margin tebal; aman untuk promo 5% maksimal Rp5.000 dan komisi sales 10%-15%.</t>
        </is>
      </c>
    </row>
    <row r="17" ht="20" customHeight="1">
      <c r="A17" s="9">
        <f>PRICING_ANALYSIS!A17</f>
        <v/>
      </c>
      <c r="B17" s="28">
        <f>PRICING_ANALYSIS!B17</f>
        <v/>
      </c>
      <c r="C17" s="12">
        <f>PRICING_ANALYSIS!C17</f>
        <v/>
      </c>
      <c r="D17" s="21">
        <f>PRICING_ANALYSIS!F17</f>
        <v/>
      </c>
      <c r="E17" s="21">
        <f>PRICING_ANALYSIS!E17</f>
        <v/>
      </c>
      <c r="F17" s="21">
        <f>D17-E17</f>
        <v/>
      </c>
      <c r="G17" s="22" t="n">
        <v>0.05</v>
      </c>
      <c r="H17" s="21" t="n">
        <v>5000</v>
      </c>
      <c r="I17" s="21">
        <f>MIN(D17*G17, H17)</f>
        <v/>
      </c>
      <c r="J17" s="21">
        <f>D17-I17</f>
        <v/>
      </c>
      <c r="K17" s="21">
        <f>F17*0.10</f>
        <v/>
      </c>
      <c r="L17" s="21">
        <f>F17*0.15</f>
        <v/>
      </c>
      <c r="M17" s="21">
        <f>I17*0.5</f>
        <v/>
      </c>
      <c r="N17" s="21">
        <f>I17*0.5</f>
        <v/>
      </c>
      <c r="O17" s="21">
        <f>((F17-K17)/2)-M17</f>
        <v/>
      </c>
      <c r="P17" s="21">
        <f>((F17-L17)/2)-M17</f>
        <v/>
      </c>
      <c r="Q17" s="21">
        <f>((F17-K17)/2)-N17</f>
        <v/>
      </c>
      <c r="R17" s="21">
        <f>((F17-L17)/2)-N17</f>
        <v/>
      </c>
      <c r="S17" s="21">
        <f>F17-I17</f>
        <v/>
      </c>
      <c r="T17" s="31">
        <f>IF(P17&lt;=0,"DEFICIT RISK",IF(P17&lt;1000,"TIGHT MARGIN","HEALTHY"))</f>
        <v/>
      </c>
      <c r="U17" s="12" t="inlineStr">
        <is>
          <t>Margin tebal; aman untuk promo 5% maksimal Rp5.000 dan komisi sales 10%-15%.</t>
        </is>
      </c>
    </row>
    <row r="18" ht="20" customHeight="1">
      <c r="A18" s="5">
        <f>PRICING_ANALYSIS!A18</f>
        <v/>
      </c>
      <c r="B18" s="29">
        <f>PRICING_ANALYSIS!B18</f>
        <v/>
      </c>
      <c r="C18" s="8">
        <f>PRICING_ANALYSIS!C18</f>
        <v/>
      </c>
      <c r="D18" s="18">
        <f>PRICING_ANALYSIS!F18</f>
        <v/>
      </c>
      <c r="E18" s="18">
        <f>PRICING_ANALYSIS!E18</f>
        <v/>
      </c>
      <c r="F18" s="18">
        <f>D18-E18</f>
        <v/>
      </c>
      <c r="G18" s="19" t="n">
        <v>0.05</v>
      </c>
      <c r="H18" s="18" t="n">
        <v>5000</v>
      </c>
      <c r="I18" s="18">
        <f>MIN(D18*G18, H18)</f>
        <v/>
      </c>
      <c r="J18" s="18">
        <f>D18-I18</f>
        <v/>
      </c>
      <c r="K18" s="18">
        <f>F18*0.10</f>
        <v/>
      </c>
      <c r="L18" s="18">
        <f>F18*0.15</f>
        <v/>
      </c>
      <c r="M18" s="18">
        <f>I18*0.5</f>
        <v/>
      </c>
      <c r="N18" s="18">
        <f>I18*0.5</f>
        <v/>
      </c>
      <c r="O18" s="18">
        <f>((F18-K18)/2)-M18</f>
        <v/>
      </c>
      <c r="P18" s="18">
        <f>((F18-L18)/2)-M18</f>
        <v/>
      </c>
      <c r="Q18" s="18">
        <f>((F18-K18)/2)-N18</f>
        <v/>
      </c>
      <c r="R18" s="18">
        <f>((F18-L18)/2)-N18</f>
        <v/>
      </c>
      <c r="S18" s="18">
        <f>F18-I18</f>
        <v/>
      </c>
      <c r="T18" s="32">
        <f>IF(P18&lt;=0,"DEFICIT RISK",IF(P18&lt;1000,"TIGHT MARGIN","HEALTHY"))</f>
        <v/>
      </c>
      <c r="U18" s="8" t="inlineStr">
        <is>
          <t>Laba CEO/COO setelah promo tipis (&lt; Rp1.000); rekomendasikan komisi Sales maksimal 10% untuk menjaga profitabilitas.</t>
        </is>
      </c>
    </row>
    <row r="19" ht="20" customHeight="1">
      <c r="A19" s="9">
        <f>PRICING_ANALYSIS!A19</f>
        <v/>
      </c>
      <c r="B19" s="28">
        <f>PRICING_ANALYSIS!B19</f>
        <v/>
      </c>
      <c r="C19" s="12">
        <f>PRICING_ANALYSIS!C19</f>
        <v/>
      </c>
      <c r="D19" s="21">
        <f>PRICING_ANALYSIS!F19</f>
        <v/>
      </c>
      <c r="E19" s="21">
        <f>PRICING_ANALYSIS!E19</f>
        <v/>
      </c>
      <c r="F19" s="21">
        <f>D19-E19</f>
        <v/>
      </c>
      <c r="G19" s="22" t="n">
        <v>0.05</v>
      </c>
      <c r="H19" s="21" t="n">
        <v>5000</v>
      </c>
      <c r="I19" s="21">
        <f>MIN(D19*G19, H19)</f>
        <v/>
      </c>
      <c r="J19" s="21">
        <f>D19-I19</f>
        <v/>
      </c>
      <c r="K19" s="21">
        <f>F19*0.10</f>
        <v/>
      </c>
      <c r="L19" s="21">
        <f>F19*0.15</f>
        <v/>
      </c>
      <c r="M19" s="21">
        <f>I19*0.5</f>
        <v/>
      </c>
      <c r="N19" s="21">
        <f>I19*0.5</f>
        <v/>
      </c>
      <c r="O19" s="21">
        <f>((F19-K19)/2)-M19</f>
        <v/>
      </c>
      <c r="P19" s="21">
        <f>((F19-L19)/2)-M19</f>
        <v/>
      </c>
      <c r="Q19" s="21">
        <f>((F19-K19)/2)-N19</f>
        <v/>
      </c>
      <c r="R19" s="21">
        <f>((F19-L19)/2)-N19</f>
        <v/>
      </c>
      <c r="S19" s="21">
        <f>F19-I19</f>
        <v/>
      </c>
      <c r="T19" s="31">
        <f>IF(P19&lt;=0,"DEFICIT RISK",IF(P19&lt;1000,"TIGHT MARGIN","HEALTHY"))</f>
        <v/>
      </c>
      <c r="U19" s="12" t="inlineStr">
        <is>
          <t>Margin tebal; aman untuk promo 5% maksimal Rp5.000 dan komisi sales 10%-15%.</t>
        </is>
      </c>
    </row>
    <row r="20" ht="20" customHeight="1">
      <c r="A20" s="5">
        <f>PRICING_ANALYSIS!A20</f>
        <v/>
      </c>
      <c r="B20" s="29">
        <f>PRICING_ANALYSIS!B20</f>
        <v/>
      </c>
      <c r="C20" s="8">
        <f>PRICING_ANALYSIS!C20</f>
        <v/>
      </c>
      <c r="D20" s="18">
        <f>PRICING_ANALYSIS!F20</f>
        <v/>
      </c>
      <c r="E20" s="18">
        <f>PRICING_ANALYSIS!E20</f>
        <v/>
      </c>
      <c r="F20" s="18">
        <f>D20-E20</f>
        <v/>
      </c>
      <c r="G20" s="19" t="n">
        <v>0.05</v>
      </c>
      <c r="H20" s="18" t="n">
        <v>5000</v>
      </c>
      <c r="I20" s="18">
        <f>MIN(D20*G20, H20)</f>
        <v/>
      </c>
      <c r="J20" s="18">
        <f>D20-I20</f>
        <v/>
      </c>
      <c r="K20" s="18">
        <f>F20*0.10</f>
        <v/>
      </c>
      <c r="L20" s="18">
        <f>F20*0.15</f>
        <v/>
      </c>
      <c r="M20" s="18">
        <f>I20*0.5</f>
        <v/>
      </c>
      <c r="N20" s="18">
        <f>I20*0.5</f>
        <v/>
      </c>
      <c r="O20" s="18">
        <f>((F20-K20)/2)-M20</f>
        <v/>
      </c>
      <c r="P20" s="18">
        <f>((F20-L20)/2)-M20</f>
        <v/>
      </c>
      <c r="Q20" s="18">
        <f>((F20-K20)/2)-N20</f>
        <v/>
      </c>
      <c r="R20" s="18">
        <f>((F20-L20)/2)-N20</f>
        <v/>
      </c>
      <c r="S20" s="18">
        <f>F20-I20</f>
        <v/>
      </c>
      <c r="T20" s="31">
        <f>IF(P20&lt;=0,"DEFICIT RISK",IF(P20&lt;1000,"TIGHT MARGIN","HEALTHY"))</f>
        <v/>
      </c>
      <c r="U20" s="8" t="inlineStr">
        <is>
          <t>Margin tebal; aman untuk promo 5% maksimal Rp5.000 dan komisi sales 10%-15%.</t>
        </is>
      </c>
    </row>
    <row r="21" ht="20" customHeight="1">
      <c r="A21" s="9">
        <f>PRICING_ANALYSIS!A21</f>
        <v/>
      </c>
      <c r="B21" s="28">
        <f>PRICING_ANALYSIS!B21</f>
        <v/>
      </c>
      <c r="C21" s="12">
        <f>PRICING_ANALYSIS!C21</f>
        <v/>
      </c>
      <c r="D21" s="21">
        <f>PRICING_ANALYSIS!F21</f>
        <v/>
      </c>
      <c r="E21" s="21">
        <f>PRICING_ANALYSIS!E21</f>
        <v/>
      </c>
      <c r="F21" s="21">
        <f>D21-E21</f>
        <v/>
      </c>
      <c r="G21" s="22" t="n">
        <v>0.05</v>
      </c>
      <c r="H21" s="21" t="n">
        <v>5000</v>
      </c>
      <c r="I21" s="21">
        <f>MIN(D21*G21, H21)</f>
        <v/>
      </c>
      <c r="J21" s="21">
        <f>D21-I21</f>
        <v/>
      </c>
      <c r="K21" s="21">
        <f>F21*0.10</f>
        <v/>
      </c>
      <c r="L21" s="21">
        <f>F21*0.15</f>
        <v/>
      </c>
      <c r="M21" s="21">
        <f>I21*0.5</f>
        <v/>
      </c>
      <c r="N21" s="21">
        <f>I21*0.5</f>
        <v/>
      </c>
      <c r="O21" s="21">
        <f>((F21-K21)/2)-M21</f>
        <v/>
      </c>
      <c r="P21" s="21">
        <f>((F21-L21)/2)-M21</f>
        <v/>
      </c>
      <c r="Q21" s="21">
        <f>((F21-K21)/2)-N21</f>
        <v/>
      </c>
      <c r="R21" s="21">
        <f>((F21-L21)/2)-N21</f>
        <v/>
      </c>
      <c r="S21" s="21">
        <f>F21-I21</f>
        <v/>
      </c>
      <c r="T21" s="32">
        <f>IF(P21&lt;=0,"DEFICIT RISK",IF(P21&lt;1000,"TIGHT MARGIN","HEALTHY"))</f>
        <v/>
      </c>
      <c r="U21" s="12" t="inlineStr">
        <is>
          <t>Laba CEO/COO setelah promo tipis (&lt; Rp1.000); rekomendasikan komisi Sales maksimal 10% untuk menjaga profitabilitas.</t>
        </is>
      </c>
    </row>
    <row r="22" ht="20" customHeight="1">
      <c r="A22" s="5">
        <f>PRICING_ANALYSIS!A22</f>
        <v/>
      </c>
      <c r="B22" s="29">
        <f>PRICING_ANALYSIS!B22</f>
        <v/>
      </c>
      <c r="C22" s="8">
        <f>PRICING_ANALYSIS!C22</f>
        <v/>
      </c>
      <c r="D22" s="18">
        <f>PRICING_ANALYSIS!F22</f>
        <v/>
      </c>
      <c r="E22" s="18">
        <f>PRICING_ANALYSIS!E22</f>
        <v/>
      </c>
      <c r="F22" s="18">
        <f>D22-E22</f>
        <v/>
      </c>
      <c r="G22" s="19" t="n">
        <v>0.05</v>
      </c>
      <c r="H22" s="18" t="n">
        <v>5000</v>
      </c>
      <c r="I22" s="18">
        <f>MIN(D22*G22, H22)</f>
        <v/>
      </c>
      <c r="J22" s="18">
        <f>D22-I22</f>
        <v/>
      </c>
      <c r="K22" s="18">
        <f>F22*0.10</f>
        <v/>
      </c>
      <c r="L22" s="18">
        <f>F22*0.15</f>
        <v/>
      </c>
      <c r="M22" s="18">
        <f>I22*0.5</f>
        <v/>
      </c>
      <c r="N22" s="18">
        <f>I22*0.5</f>
        <v/>
      </c>
      <c r="O22" s="18">
        <f>((F22-K22)/2)-M22</f>
        <v/>
      </c>
      <c r="P22" s="18">
        <f>((F22-L22)/2)-M22</f>
        <v/>
      </c>
      <c r="Q22" s="18">
        <f>((F22-K22)/2)-N22</f>
        <v/>
      </c>
      <c r="R22" s="18">
        <f>((F22-L22)/2)-N22</f>
        <v/>
      </c>
      <c r="S22" s="18">
        <f>F22-I22</f>
        <v/>
      </c>
      <c r="T22" s="31">
        <f>IF(P22&lt;=0,"DEFICIT RISK",IF(P22&lt;1000,"TIGHT MARGIN","HEALTHY"))</f>
        <v/>
      </c>
      <c r="U22" s="8" t="inlineStr">
        <is>
          <t>Margin tebal; aman untuk promo 5% maksimal Rp5.000 dan komisi sales 10%-15%.</t>
        </is>
      </c>
    </row>
    <row r="23" ht="20" customHeight="1">
      <c r="A23" s="9">
        <f>PRICING_ANALYSIS!A23</f>
        <v/>
      </c>
      <c r="B23" s="28">
        <f>PRICING_ANALYSIS!B23</f>
        <v/>
      </c>
      <c r="C23" s="12">
        <f>PRICING_ANALYSIS!C23</f>
        <v/>
      </c>
      <c r="D23" s="21">
        <f>PRICING_ANALYSIS!F23</f>
        <v/>
      </c>
      <c r="E23" s="21">
        <f>PRICING_ANALYSIS!E23</f>
        <v/>
      </c>
      <c r="F23" s="21">
        <f>D23-E23</f>
        <v/>
      </c>
      <c r="G23" s="22" t="n">
        <v>0.05</v>
      </c>
      <c r="H23" s="21" t="n">
        <v>5000</v>
      </c>
      <c r="I23" s="21">
        <f>MIN(D23*G23, H23)</f>
        <v/>
      </c>
      <c r="J23" s="21">
        <f>D23-I23</f>
        <v/>
      </c>
      <c r="K23" s="21">
        <f>F23*0.10</f>
        <v/>
      </c>
      <c r="L23" s="21">
        <f>F23*0.15</f>
        <v/>
      </c>
      <c r="M23" s="21">
        <f>I23*0.5</f>
        <v/>
      </c>
      <c r="N23" s="21">
        <f>I23*0.5</f>
        <v/>
      </c>
      <c r="O23" s="21">
        <f>((F23-K23)/2)-M23</f>
        <v/>
      </c>
      <c r="P23" s="21">
        <f>((F23-L23)/2)-M23</f>
        <v/>
      </c>
      <c r="Q23" s="21">
        <f>((F23-K23)/2)-N23</f>
        <v/>
      </c>
      <c r="R23" s="21">
        <f>((F23-L23)/2)-N23</f>
        <v/>
      </c>
      <c r="S23" s="21">
        <f>F23-I23</f>
        <v/>
      </c>
      <c r="T23" s="32">
        <f>IF(P23&lt;=0,"DEFICIT RISK",IF(P23&lt;1000,"TIGHT MARGIN","HEALTHY"))</f>
        <v/>
      </c>
      <c r="U23" s="12" t="inlineStr">
        <is>
          <t>Laba CEO/COO setelah promo tipis (&lt; Rp1.000); rekomendasikan komisi Sales maksimal 10% untuk menjaga profitabilitas.</t>
        </is>
      </c>
    </row>
    <row r="24" ht="20" customHeight="1">
      <c r="A24" s="5">
        <f>PRICING_ANALYSIS!A24</f>
        <v/>
      </c>
      <c r="B24" s="29">
        <f>PRICING_ANALYSIS!B24</f>
        <v/>
      </c>
      <c r="C24" s="8">
        <f>PRICING_ANALYSIS!C24</f>
        <v/>
      </c>
      <c r="D24" s="18">
        <f>PRICING_ANALYSIS!F24</f>
        <v/>
      </c>
      <c r="E24" s="18">
        <f>PRICING_ANALYSIS!E24</f>
        <v/>
      </c>
      <c r="F24" s="18">
        <f>D24-E24</f>
        <v/>
      </c>
      <c r="G24" s="19" t="n">
        <v>0.05</v>
      </c>
      <c r="H24" s="18" t="n">
        <v>5000</v>
      </c>
      <c r="I24" s="18">
        <f>MIN(D24*G24, H24)</f>
        <v/>
      </c>
      <c r="J24" s="18">
        <f>D24-I24</f>
        <v/>
      </c>
      <c r="K24" s="18">
        <f>F24*0.10</f>
        <v/>
      </c>
      <c r="L24" s="18">
        <f>F24*0.15</f>
        <v/>
      </c>
      <c r="M24" s="18">
        <f>I24*0.5</f>
        <v/>
      </c>
      <c r="N24" s="18">
        <f>I24*0.5</f>
        <v/>
      </c>
      <c r="O24" s="18">
        <f>((F24-K24)/2)-M24</f>
        <v/>
      </c>
      <c r="P24" s="18">
        <f>((F24-L24)/2)-M24</f>
        <v/>
      </c>
      <c r="Q24" s="18">
        <f>((F24-K24)/2)-N24</f>
        <v/>
      </c>
      <c r="R24" s="18">
        <f>((F24-L24)/2)-N24</f>
        <v/>
      </c>
      <c r="S24" s="18">
        <f>F24-I24</f>
        <v/>
      </c>
      <c r="T24" s="31">
        <f>IF(P24&lt;=0,"DEFICIT RISK",IF(P24&lt;1000,"TIGHT MARGIN","HEALTHY"))</f>
        <v/>
      </c>
      <c r="U24" s="8" t="inlineStr">
        <is>
          <t>Margin tebal; aman untuk promo 5% maksimal Rp5.000 dan komisi sales 10%-15%.</t>
        </is>
      </c>
    </row>
    <row r="25" ht="20" customHeight="1">
      <c r="A25" s="9">
        <f>PRICING_ANALYSIS!A25</f>
        <v/>
      </c>
      <c r="B25" s="28">
        <f>PRICING_ANALYSIS!B25</f>
        <v/>
      </c>
      <c r="C25" s="12">
        <f>PRICING_ANALYSIS!C25</f>
        <v/>
      </c>
      <c r="D25" s="21">
        <f>PRICING_ANALYSIS!F25</f>
        <v/>
      </c>
      <c r="E25" s="21">
        <f>PRICING_ANALYSIS!E25</f>
        <v/>
      </c>
      <c r="F25" s="21">
        <f>D25-E25</f>
        <v/>
      </c>
      <c r="G25" s="22" t="n">
        <v>0.05</v>
      </c>
      <c r="H25" s="21" t="n">
        <v>5000</v>
      </c>
      <c r="I25" s="21">
        <f>MIN(D25*G25, H25)</f>
        <v/>
      </c>
      <c r="J25" s="21">
        <f>D25-I25</f>
        <v/>
      </c>
      <c r="K25" s="21">
        <f>F25*0.10</f>
        <v/>
      </c>
      <c r="L25" s="21">
        <f>F25*0.15</f>
        <v/>
      </c>
      <c r="M25" s="21">
        <f>I25*0.5</f>
        <v/>
      </c>
      <c r="N25" s="21">
        <f>I25*0.5</f>
        <v/>
      </c>
      <c r="O25" s="21">
        <f>((F25-K25)/2)-M25</f>
        <v/>
      </c>
      <c r="P25" s="21">
        <f>((F25-L25)/2)-M25</f>
        <v/>
      </c>
      <c r="Q25" s="21">
        <f>((F25-K25)/2)-N25</f>
        <v/>
      </c>
      <c r="R25" s="21">
        <f>((F25-L25)/2)-N25</f>
        <v/>
      </c>
      <c r="S25" s="21">
        <f>F25-I25</f>
        <v/>
      </c>
      <c r="T25" s="32">
        <f>IF(P25&lt;=0,"DEFICIT RISK",IF(P25&lt;1000,"TIGHT MARGIN","HEALTHY"))</f>
        <v/>
      </c>
      <c r="U25" s="12" t="inlineStr">
        <is>
          <t>Laba CEO/COO setelah promo tipis (&lt; Rp1.000); rekomendasikan komisi Sales maksimal 10% untuk menjaga profitabilitas.</t>
        </is>
      </c>
    </row>
    <row r="26" ht="20" customHeight="1">
      <c r="A26" s="5">
        <f>PRICING_ANALYSIS!A26</f>
        <v/>
      </c>
      <c r="B26" s="29">
        <f>PRICING_ANALYSIS!B26</f>
        <v/>
      </c>
      <c r="C26" s="8">
        <f>PRICING_ANALYSIS!C26</f>
        <v/>
      </c>
      <c r="D26" s="18">
        <f>PRICING_ANALYSIS!F26</f>
        <v/>
      </c>
      <c r="E26" s="18">
        <f>PRICING_ANALYSIS!E26</f>
        <v/>
      </c>
      <c r="F26" s="18">
        <f>D26-E26</f>
        <v/>
      </c>
      <c r="G26" s="19" t="n">
        <v>0.05</v>
      </c>
      <c r="H26" s="18" t="n">
        <v>5000</v>
      </c>
      <c r="I26" s="18">
        <f>MIN(D26*G26, H26)</f>
        <v/>
      </c>
      <c r="J26" s="18">
        <f>D26-I26</f>
        <v/>
      </c>
      <c r="K26" s="18">
        <f>F26*0.10</f>
        <v/>
      </c>
      <c r="L26" s="18">
        <f>F26*0.15</f>
        <v/>
      </c>
      <c r="M26" s="18">
        <f>I26*0.5</f>
        <v/>
      </c>
      <c r="N26" s="18">
        <f>I26*0.5</f>
        <v/>
      </c>
      <c r="O26" s="18">
        <f>((F26-K26)/2)-M26</f>
        <v/>
      </c>
      <c r="P26" s="18">
        <f>((F26-L26)/2)-M26</f>
        <v/>
      </c>
      <c r="Q26" s="18">
        <f>((F26-K26)/2)-N26</f>
        <v/>
      </c>
      <c r="R26" s="18">
        <f>((F26-L26)/2)-N26</f>
        <v/>
      </c>
      <c r="S26" s="18">
        <f>F26-I26</f>
        <v/>
      </c>
      <c r="T26" s="32">
        <f>IF(P26&lt;=0,"DEFICIT RISK",IF(P26&lt;1000,"TIGHT MARGIN","HEALTHY"))</f>
        <v/>
      </c>
      <c r="U26" s="8" t="inlineStr">
        <is>
          <t>Laba CEO/COO setelah promo tipis (&lt; Rp1.000); rekomendasikan komisi Sales maksimal 10% untuk menjaga profitabilitas.</t>
        </is>
      </c>
    </row>
    <row r="27" ht="20" customHeight="1">
      <c r="A27" s="9">
        <f>PRICING_ANALYSIS!A27</f>
        <v/>
      </c>
      <c r="B27" s="28">
        <f>PRICING_ANALYSIS!B27</f>
        <v/>
      </c>
      <c r="C27" s="12">
        <f>PRICING_ANALYSIS!C27</f>
        <v/>
      </c>
      <c r="D27" s="21">
        <f>PRICING_ANALYSIS!F27</f>
        <v/>
      </c>
      <c r="E27" s="21">
        <f>PRICING_ANALYSIS!E27</f>
        <v/>
      </c>
      <c r="F27" s="21">
        <f>D27-E27</f>
        <v/>
      </c>
      <c r="G27" s="22" t="n">
        <v>0.05</v>
      </c>
      <c r="H27" s="21" t="n">
        <v>5000</v>
      </c>
      <c r="I27" s="21">
        <f>MIN(D27*G27, H27)</f>
        <v/>
      </c>
      <c r="J27" s="21">
        <f>D27-I27</f>
        <v/>
      </c>
      <c r="K27" s="21">
        <f>F27*0.10</f>
        <v/>
      </c>
      <c r="L27" s="21">
        <f>F27*0.15</f>
        <v/>
      </c>
      <c r="M27" s="21">
        <f>I27*0.5</f>
        <v/>
      </c>
      <c r="N27" s="21">
        <f>I27*0.5</f>
        <v/>
      </c>
      <c r="O27" s="21">
        <f>((F27-K27)/2)-M27</f>
        <v/>
      </c>
      <c r="P27" s="21">
        <f>((F27-L27)/2)-M27</f>
        <v/>
      </c>
      <c r="Q27" s="21">
        <f>((F27-K27)/2)-N27</f>
        <v/>
      </c>
      <c r="R27" s="21">
        <f>((F27-L27)/2)-N27</f>
        <v/>
      </c>
      <c r="S27" s="21">
        <f>F27-I27</f>
        <v/>
      </c>
      <c r="T27" s="32">
        <f>IF(P27&lt;=0,"DEFICIT RISK",IF(P27&lt;1000,"TIGHT MARGIN","HEALTHY"))</f>
        <v/>
      </c>
      <c r="U27" s="12" t="inlineStr">
        <is>
          <t>Laba CEO/COO setelah promo tipis (&lt; Rp1.000); rekomendasikan komisi Sales maksimal 10% untuk menjaga profitabilitas.</t>
        </is>
      </c>
    </row>
    <row r="28" ht="20" customHeight="1">
      <c r="A28" s="5">
        <f>PRICING_ANALYSIS!A28</f>
        <v/>
      </c>
      <c r="B28" s="29">
        <f>PRICING_ANALYSIS!B28</f>
        <v/>
      </c>
      <c r="C28" s="8">
        <f>PRICING_ANALYSIS!C28</f>
        <v/>
      </c>
      <c r="D28" s="18">
        <f>PRICING_ANALYSIS!F28</f>
        <v/>
      </c>
      <c r="E28" s="18">
        <f>PRICING_ANALYSIS!E28</f>
        <v/>
      </c>
      <c r="F28" s="18">
        <f>D28-E28</f>
        <v/>
      </c>
      <c r="G28" s="19" t="n">
        <v>0.05</v>
      </c>
      <c r="H28" s="18" t="n">
        <v>5000</v>
      </c>
      <c r="I28" s="18">
        <f>MIN(D28*G28, H28)</f>
        <v/>
      </c>
      <c r="J28" s="18">
        <f>D28-I28</f>
        <v/>
      </c>
      <c r="K28" s="18">
        <f>F28*0.10</f>
        <v/>
      </c>
      <c r="L28" s="18">
        <f>F28*0.15</f>
        <v/>
      </c>
      <c r="M28" s="18">
        <f>I28*0.5</f>
        <v/>
      </c>
      <c r="N28" s="18">
        <f>I28*0.5</f>
        <v/>
      </c>
      <c r="O28" s="18">
        <f>((F28-K28)/2)-M28</f>
        <v/>
      </c>
      <c r="P28" s="18">
        <f>((F28-L28)/2)-M28</f>
        <v/>
      </c>
      <c r="Q28" s="18">
        <f>((F28-K28)/2)-N28</f>
        <v/>
      </c>
      <c r="R28" s="18">
        <f>((F28-L28)/2)-N28</f>
        <v/>
      </c>
      <c r="S28" s="18">
        <f>F28-I28</f>
        <v/>
      </c>
      <c r="T28" s="31">
        <f>IF(P28&lt;=0,"DEFICIT RISK",IF(P28&lt;1000,"TIGHT MARGIN","HEALTHY"))</f>
        <v/>
      </c>
      <c r="U28" s="8" t="inlineStr">
        <is>
          <t>Margin tebal; aman untuk promo 5% maksimal Rp5.000 dan komisi sales 10%-15%.</t>
        </is>
      </c>
    </row>
    <row r="29" ht="20" customHeight="1">
      <c r="A29" s="9">
        <f>PRICING_ANALYSIS!A29</f>
        <v/>
      </c>
      <c r="B29" s="28">
        <f>PRICING_ANALYSIS!B29</f>
        <v/>
      </c>
      <c r="C29" s="12">
        <f>PRICING_ANALYSIS!C29</f>
        <v/>
      </c>
      <c r="D29" s="21">
        <f>PRICING_ANALYSIS!F29</f>
        <v/>
      </c>
      <c r="E29" s="21">
        <f>PRICING_ANALYSIS!E29</f>
        <v/>
      </c>
      <c r="F29" s="21">
        <f>D29-E29</f>
        <v/>
      </c>
      <c r="G29" s="22" t="n">
        <v>0.05</v>
      </c>
      <c r="H29" s="21" t="n">
        <v>5000</v>
      </c>
      <c r="I29" s="21">
        <f>MIN(D29*G29, H29)</f>
        <v/>
      </c>
      <c r="J29" s="21">
        <f>D29-I29</f>
        <v/>
      </c>
      <c r="K29" s="21">
        <f>F29*0.10</f>
        <v/>
      </c>
      <c r="L29" s="21">
        <f>F29*0.15</f>
        <v/>
      </c>
      <c r="M29" s="21">
        <f>I29*0.5</f>
        <v/>
      </c>
      <c r="N29" s="21">
        <f>I29*0.5</f>
        <v/>
      </c>
      <c r="O29" s="21">
        <f>((F29-K29)/2)-M29</f>
        <v/>
      </c>
      <c r="P29" s="21">
        <f>((F29-L29)/2)-M29</f>
        <v/>
      </c>
      <c r="Q29" s="21">
        <f>((F29-K29)/2)-N29</f>
        <v/>
      </c>
      <c r="R29" s="21">
        <f>((F29-L29)/2)-N29</f>
        <v/>
      </c>
      <c r="S29" s="21">
        <f>F29-I29</f>
        <v/>
      </c>
      <c r="T29" s="31">
        <f>IF(P29&lt;=0,"DEFICIT RISK",IF(P29&lt;1000,"TIGHT MARGIN","HEALTHY"))</f>
        <v/>
      </c>
      <c r="U29" s="12" t="inlineStr">
        <is>
          <t>Margin tebal; aman untuk promo 5% maksimal Rp5.000 dan komisi sales 10%-15%.</t>
        </is>
      </c>
    </row>
    <row r="30" ht="20" customHeight="1">
      <c r="A30" s="5">
        <f>PRICING_ANALYSIS!A30</f>
        <v/>
      </c>
      <c r="B30" s="29">
        <f>PRICING_ANALYSIS!B30</f>
        <v/>
      </c>
      <c r="C30" s="8">
        <f>PRICING_ANALYSIS!C30</f>
        <v/>
      </c>
      <c r="D30" s="18">
        <f>PRICING_ANALYSIS!F30</f>
        <v/>
      </c>
      <c r="E30" s="18">
        <f>PRICING_ANALYSIS!E30</f>
        <v/>
      </c>
      <c r="F30" s="18">
        <f>D30-E30</f>
        <v/>
      </c>
      <c r="G30" s="19" t="n">
        <v>0.05</v>
      </c>
      <c r="H30" s="18" t="n">
        <v>5000</v>
      </c>
      <c r="I30" s="18">
        <f>MIN(D30*G30, H30)</f>
        <v/>
      </c>
      <c r="J30" s="18">
        <f>D30-I30</f>
        <v/>
      </c>
      <c r="K30" s="18">
        <f>F30*0.10</f>
        <v/>
      </c>
      <c r="L30" s="18">
        <f>F30*0.15</f>
        <v/>
      </c>
      <c r="M30" s="18">
        <f>I30*0.5</f>
        <v/>
      </c>
      <c r="N30" s="18">
        <f>I30*0.5</f>
        <v/>
      </c>
      <c r="O30" s="18">
        <f>((F30-K30)/2)-M30</f>
        <v/>
      </c>
      <c r="P30" s="18">
        <f>((F30-L30)/2)-M30</f>
        <v/>
      </c>
      <c r="Q30" s="18">
        <f>((F30-K30)/2)-N30</f>
        <v/>
      </c>
      <c r="R30" s="18">
        <f>((F30-L30)/2)-N30</f>
        <v/>
      </c>
      <c r="S30" s="18">
        <f>F30-I30</f>
        <v/>
      </c>
      <c r="T30" s="32">
        <f>IF(P30&lt;=0,"DEFICIT RISK",IF(P30&lt;1000,"TIGHT MARGIN","HEALTHY"))</f>
        <v/>
      </c>
      <c r="U30" s="8" t="inlineStr">
        <is>
          <t>Laba CEO/COO setelah promo tipis (&lt; Rp1.000); rekomendasikan komisi Sales maksimal 10% untuk menjaga profitabilitas.</t>
        </is>
      </c>
    </row>
    <row r="31" ht="20" customHeight="1">
      <c r="A31" s="9">
        <f>PRICING_ANALYSIS!A31</f>
        <v/>
      </c>
      <c r="B31" s="28">
        <f>PRICING_ANALYSIS!B31</f>
        <v/>
      </c>
      <c r="C31" s="12">
        <f>PRICING_ANALYSIS!C31</f>
        <v/>
      </c>
      <c r="D31" s="21">
        <f>PRICING_ANALYSIS!F31</f>
        <v/>
      </c>
      <c r="E31" s="21">
        <f>PRICING_ANALYSIS!E31</f>
        <v/>
      </c>
      <c r="F31" s="21">
        <f>D31-E31</f>
        <v/>
      </c>
      <c r="G31" s="22" t="n">
        <v>0.05</v>
      </c>
      <c r="H31" s="21" t="n">
        <v>5000</v>
      </c>
      <c r="I31" s="21">
        <f>MIN(D31*G31, H31)</f>
        <v/>
      </c>
      <c r="J31" s="21">
        <f>D31-I31</f>
        <v/>
      </c>
      <c r="K31" s="21">
        <f>F31*0.10</f>
        <v/>
      </c>
      <c r="L31" s="21">
        <f>F31*0.15</f>
        <v/>
      </c>
      <c r="M31" s="21">
        <f>I31*0.5</f>
        <v/>
      </c>
      <c r="N31" s="21">
        <f>I31*0.5</f>
        <v/>
      </c>
      <c r="O31" s="21">
        <f>((F31-K31)/2)-M31</f>
        <v/>
      </c>
      <c r="P31" s="21">
        <f>((F31-L31)/2)-M31</f>
        <v/>
      </c>
      <c r="Q31" s="21">
        <f>((F31-K31)/2)-N31</f>
        <v/>
      </c>
      <c r="R31" s="21">
        <f>((F31-L31)/2)-N31</f>
        <v/>
      </c>
      <c r="S31" s="21">
        <f>F31-I31</f>
        <v/>
      </c>
      <c r="T31" s="31">
        <f>IF(P31&lt;=0,"DEFICIT RISK",IF(P31&lt;1000,"TIGHT MARGIN","HEALTHY"))</f>
        <v/>
      </c>
      <c r="U31" s="12" t="inlineStr">
        <is>
          <t>Margin tebal; aman untuk promo 5% maksimal Rp5.000 dan komisi sales 10%-15%.</t>
        </is>
      </c>
    </row>
    <row r="32" ht="20" customHeight="1">
      <c r="A32" s="5">
        <f>PRICING_ANALYSIS!A32</f>
        <v/>
      </c>
      <c r="B32" s="29">
        <f>PRICING_ANALYSIS!B32</f>
        <v/>
      </c>
      <c r="C32" s="8">
        <f>PRICING_ANALYSIS!C32</f>
        <v/>
      </c>
      <c r="D32" s="18">
        <f>PRICING_ANALYSIS!F32</f>
        <v/>
      </c>
      <c r="E32" s="18">
        <f>PRICING_ANALYSIS!E32</f>
        <v/>
      </c>
      <c r="F32" s="18">
        <f>D32-E32</f>
        <v/>
      </c>
      <c r="G32" s="19" t="n">
        <v>0.05</v>
      </c>
      <c r="H32" s="18" t="n">
        <v>5000</v>
      </c>
      <c r="I32" s="18">
        <f>MIN(D32*G32, H32)</f>
        <v/>
      </c>
      <c r="J32" s="18">
        <f>D32-I32</f>
        <v/>
      </c>
      <c r="K32" s="18">
        <f>F32*0.10</f>
        <v/>
      </c>
      <c r="L32" s="18">
        <f>F32*0.15</f>
        <v/>
      </c>
      <c r="M32" s="18">
        <f>I32*0.5</f>
        <v/>
      </c>
      <c r="N32" s="18">
        <f>I32*0.5</f>
        <v/>
      </c>
      <c r="O32" s="18">
        <f>((F32-K32)/2)-M32</f>
        <v/>
      </c>
      <c r="P32" s="18">
        <f>((F32-L32)/2)-M32</f>
        <v/>
      </c>
      <c r="Q32" s="18">
        <f>((F32-K32)/2)-N32</f>
        <v/>
      </c>
      <c r="R32" s="18">
        <f>((F32-L32)/2)-N32</f>
        <v/>
      </c>
      <c r="S32" s="18">
        <f>F32-I32</f>
        <v/>
      </c>
      <c r="T32" s="32">
        <f>IF(P32&lt;=0,"DEFICIT RISK",IF(P32&lt;1000,"TIGHT MARGIN","HEALTHY"))</f>
        <v/>
      </c>
      <c r="U32" s="8" t="inlineStr">
        <is>
          <t>Laba CEO/COO setelah promo tipis (&lt; Rp1.000); rekomendasikan komisi Sales maksimal 10% untuk menjaga profitabilitas.</t>
        </is>
      </c>
    </row>
    <row r="33" ht="20" customHeight="1">
      <c r="A33" s="9">
        <f>PRICING_ANALYSIS!A33</f>
        <v/>
      </c>
      <c r="B33" s="28">
        <f>PRICING_ANALYSIS!B33</f>
        <v/>
      </c>
      <c r="C33" s="12">
        <f>PRICING_ANALYSIS!C33</f>
        <v/>
      </c>
      <c r="D33" s="21">
        <f>PRICING_ANALYSIS!F33</f>
        <v/>
      </c>
      <c r="E33" s="21">
        <f>PRICING_ANALYSIS!E33</f>
        <v/>
      </c>
      <c r="F33" s="21">
        <f>D33-E33</f>
        <v/>
      </c>
      <c r="G33" s="22" t="n">
        <v>0.05</v>
      </c>
      <c r="H33" s="21" t="n">
        <v>5000</v>
      </c>
      <c r="I33" s="21">
        <f>MIN(D33*G33, H33)</f>
        <v/>
      </c>
      <c r="J33" s="21">
        <f>D33-I33</f>
        <v/>
      </c>
      <c r="K33" s="21">
        <f>F33*0.10</f>
        <v/>
      </c>
      <c r="L33" s="21">
        <f>F33*0.15</f>
        <v/>
      </c>
      <c r="M33" s="21">
        <f>I33*0.5</f>
        <v/>
      </c>
      <c r="N33" s="21">
        <f>I33*0.5</f>
        <v/>
      </c>
      <c r="O33" s="21">
        <f>((F33-K33)/2)-M33</f>
        <v/>
      </c>
      <c r="P33" s="21">
        <f>((F33-L33)/2)-M33</f>
        <v/>
      </c>
      <c r="Q33" s="21">
        <f>((F33-K33)/2)-N33</f>
        <v/>
      </c>
      <c r="R33" s="21">
        <f>((F33-L33)/2)-N33</f>
        <v/>
      </c>
      <c r="S33" s="21">
        <f>F33-I33</f>
        <v/>
      </c>
      <c r="T33" s="32">
        <f>IF(P33&lt;=0,"DEFICIT RISK",IF(P33&lt;1000,"TIGHT MARGIN","HEALTHY"))</f>
        <v/>
      </c>
      <c r="U33" s="12" t="inlineStr">
        <is>
          <t>Laba CEO/COO setelah promo tipis (&lt; Rp1.000); rekomendasikan komisi Sales maksimal 10% untuk menjaga profitabilitas.</t>
        </is>
      </c>
    </row>
    <row r="34" ht="20" customHeight="1">
      <c r="A34" s="5">
        <f>PRICING_ANALYSIS!A34</f>
        <v/>
      </c>
      <c r="B34" s="29">
        <f>PRICING_ANALYSIS!B34</f>
        <v/>
      </c>
      <c r="C34" s="8">
        <f>PRICING_ANALYSIS!C34</f>
        <v/>
      </c>
      <c r="D34" s="18">
        <f>PRICING_ANALYSIS!F34</f>
        <v/>
      </c>
      <c r="E34" s="18">
        <f>PRICING_ANALYSIS!E34</f>
        <v/>
      </c>
      <c r="F34" s="18">
        <f>D34-E34</f>
        <v/>
      </c>
      <c r="G34" s="19" t="n">
        <v>0.05</v>
      </c>
      <c r="H34" s="18" t="n">
        <v>5000</v>
      </c>
      <c r="I34" s="18">
        <f>MIN(D34*G34, H34)</f>
        <v/>
      </c>
      <c r="J34" s="18">
        <f>D34-I34</f>
        <v/>
      </c>
      <c r="K34" s="18">
        <f>F34*0.10</f>
        <v/>
      </c>
      <c r="L34" s="18">
        <f>F34*0.15</f>
        <v/>
      </c>
      <c r="M34" s="18">
        <f>I34*0.5</f>
        <v/>
      </c>
      <c r="N34" s="18">
        <f>I34*0.5</f>
        <v/>
      </c>
      <c r="O34" s="18">
        <f>((F34-K34)/2)-M34</f>
        <v/>
      </c>
      <c r="P34" s="18">
        <f>((F34-L34)/2)-M34</f>
        <v/>
      </c>
      <c r="Q34" s="18">
        <f>((F34-K34)/2)-N34</f>
        <v/>
      </c>
      <c r="R34" s="18">
        <f>((F34-L34)/2)-N34</f>
        <v/>
      </c>
      <c r="S34" s="18">
        <f>F34-I34</f>
        <v/>
      </c>
      <c r="T34" s="32">
        <f>IF(P34&lt;=0,"DEFICIT RISK",IF(P34&lt;1000,"TIGHT MARGIN","HEALTHY"))</f>
        <v/>
      </c>
      <c r="U34" s="8" t="inlineStr">
        <is>
          <t>Laba CEO/COO setelah promo tipis (&lt; Rp1.000); rekomendasikan komisi Sales maksimal 10% untuk menjaga profitabilitas.</t>
        </is>
      </c>
    </row>
    <row r="35" ht="20" customHeight="1">
      <c r="A35" s="9">
        <f>PRICING_ANALYSIS!A35</f>
        <v/>
      </c>
      <c r="B35" s="28">
        <f>PRICING_ANALYSIS!B35</f>
        <v/>
      </c>
      <c r="C35" s="12">
        <f>PRICING_ANALYSIS!C35</f>
        <v/>
      </c>
      <c r="D35" s="21">
        <f>PRICING_ANALYSIS!F35</f>
        <v/>
      </c>
      <c r="E35" s="21">
        <f>PRICING_ANALYSIS!E35</f>
        <v/>
      </c>
      <c r="F35" s="21">
        <f>D35-E35</f>
        <v/>
      </c>
      <c r="G35" s="22" t="n">
        <v>0.05</v>
      </c>
      <c r="H35" s="21" t="n">
        <v>5000</v>
      </c>
      <c r="I35" s="21">
        <f>MIN(D35*G35, H35)</f>
        <v/>
      </c>
      <c r="J35" s="21">
        <f>D35-I35</f>
        <v/>
      </c>
      <c r="K35" s="21">
        <f>F35*0.10</f>
        <v/>
      </c>
      <c r="L35" s="21">
        <f>F35*0.15</f>
        <v/>
      </c>
      <c r="M35" s="21">
        <f>I35*0.5</f>
        <v/>
      </c>
      <c r="N35" s="21">
        <f>I35*0.5</f>
        <v/>
      </c>
      <c r="O35" s="21">
        <f>((F35-K35)/2)-M35</f>
        <v/>
      </c>
      <c r="P35" s="21">
        <f>((F35-L35)/2)-M35</f>
        <v/>
      </c>
      <c r="Q35" s="21">
        <f>((F35-K35)/2)-N35</f>
        <v/>
      </c>
      <c r="R35" s="21">
        <f>((F35-L35)/2)-N35</f>
        <v/>
      </c>
      <c r="S35" s="21">
        <f>F35-I35</f>
        <v/>
      </c>
      <c r="T35" s="32">
        <f>IF(P35&lt;=0,"DEFICIT RISK",IF(P35&lt;1000,"TIGHT MARGIN","HEALTHY"))</f>
        <v/>
      </c>
      <c r="U35" s="12" t="inlineStr">
        <is>
          <t>Laba CEO/COO setelah promo tipis (&lt; Rp1.000); rekomendasikan komisi Sales maksimal 10% untuk menjaga profitabilitas.</t>
        </is>
      </c>
    </row>
    <row r="36" ht="20" customHeight="1">
      <c r="A36" s="5">
        <f>PRICING_ANALYSIS!A36</f>
        <v/>
      </c>
      <c r="B36" s="29">
        <f>PRICING_ANALYSIS!B36</f>
        <v/>
      </c>
      <c r="C36" s="8">
        <f>PRICING_ANALYSIS!C36</f>
        <v/>
      </c>
      <c r="D36" s="18">
        <f>PRICING_ANALYSIS!F36</f>
        <v/>
      </c>
      <c r="E36" s="18">
        <f>PRICING_ANALYSIS!E36</f>
        <v/>
      </c>
      <c r="F36" s="18">
        <f>D36-E36</f>
        <v/>
      </c>
      <c r="G36" s="19" t="n">
        <v>0.05</v>
      </c>
      <c r="H36" s="18" t="n">
        <v>5000</v>
      </c>
      <c r="I36" s="18">
        <f>MIN(D36*G36, H36)</f>
        <v/>
      </c>
      <c r="J36" s="18">
        <f>D36-I36</f>
        <v/>
      </c>
      <c r="K36" s="18">
        <f>F36*0.10</f>
        <v/>
      </c>
      <c r="L36" s="18">
        <f>F36*0.15</f>
        <v/>
      </c>
      <c r="M36" s="18">
        <f>I36*0.5</f>
        <v/>
      </c>
      <c r="N36" s="18">
        <f>I36*0.5</f>
        <v/>
      </c>
      <c r="O36" s="18">
        <f>((F36-K36)/2)-M36</f>
        <v/>
      </c>
      <c r="P36" s="18">
        <f>((F36-L36)/2)-M36</f>
        <v/>
      </c>
      <c r="Q36" s="18">
        <f>((F36-K36)/2)-N36</f>
        <v/>
      </c>
      <c r="R36" s="18">
        <f>((F36-L36)/2)-N36</f>
        <v/>
      </c>
      <c r="S36" s="18">
        <f>F36-I36</f>
        <v/>
      </c>
      <c r="T36" s="32">
        <f>IF(P36&lt;=0,"DEFICIT RISK",IF(P36&lt;1000,"TIGHT MARGIN","HEALTHY"))</f>
        <v/>
      </c>
      <c r="U36" s="8" t="inlineStr">
        <is>
          <t>Laba CEO/COO setelah promo tipis (&lt; Rp1.000); rekomendasikan komisi Sales maksimal 10% untuk menjaga profitabilitas.</t>
        </is>
      </c>
    </row>
    <row r="37" ht="20" customHeight="1">
      <c r="A37" s="9">
        <f>PRICING_ANALYSIS!A37</f>
        <v/>
      </c>
      <c r="B37" s="28">
        <f>PRICING_ANALYSIS!B37</f>
        <v/>
      </c>
      <c r="C37" s="12">
        <f>PRICING_ANALYSIS!C37</f>
        <v/>
      </c>
      <c r="D37" s="21">
        <f>PRICING_ANALYSIS!F37</f>
        <v/>
      </c>
      <c r="E37" s="21">
        <f>PRICING_ANALYSIS!E37</f>
        <v/>
      </c>
      <c r="F37" s="21">
        <f>D37-E37</f>
        <v/>
      </c>
      <c r="G37" s="22" t="n">
        <v>0.05</v>
      </c>
      <c r="H37" s="21" t="n">
        <v>5000</v>
      </c>
      <c r="I37" s="21">
        <f>MIN(D37*G37, H37)</f>
        <v/>
      </c>
      <c r="J37" s="21">
        <f>D37-I37</f>
        <v/>
      </c>
      <c r="K37" s="21">
        <f>F37*0.10</f>
        <v/>
      </c>
      <c r="L37" s="21">
        <f>F37*0.15</f>
        <v/>
      </c>
      <c r="M37" s="21">
        <f>I37*0.5</f>
        <v/>
      </c>
      <c r="N37" s="21">
        <f>I37*0.5</f>
        <v/>
      </c>
      <c r="O37" s="21">
        <f>((F37-K37)/2)-M37</f>
        <v/>
      </c>
      <c r="P37" s="21">
        <f>((F37-L37)/2)-M37</f>
        <v/>
      </c>
      <c r="Q37" s="21">
        <f>((F37-K37)/2)-N37</f>
        <v/>
      </c>
      <c r="R37" s="21">
        <f>((F37-L37)/2)-N37</f>
        <v/>
      </c>
      <c r="S37" s="21">
        <f>F37-I37</f>
        <v/>
      </c>
      <c r="T37" s="32">
        <f>IF(P37&lt;=0,"DEFICIT RISK",IF(P37&lt;1000,"TIGHT MARGIN","HEALTHY"))</f>
        <v/>
      </c>
      <c r="U37" s="12" t="inlineStr">
        <is>
          <t>Laba CEO/COO setelah promo tipis (&lt; Rp1.000); rekomendasikan komisi Sales maksimal 10% untuk menjaga profitabilitas.</t>
        </is>
      </c>
    </row>
    <row r="38" ht="20" customHeight="1">
      <c r="A38" s="5">
        <f>PRICING_ANALYSIS!A38</f>
        <v/>
      </c>
      <c r="B38" s="29">
        <f>PRICING_ANALYSIS!B38</f>
        <v/>
      </c>
      <c r="C38" s="8">
        <f>PRICING_ANALYSIS!C38</f>
        <v/>
      </c>
      <c r="D38" s="18">
        <f>PRICING_ANALYSIS!F38</f>
        <v/>
      </c>
      <c r="E38" s="18">
        <f>PRICING_ANALYSIS!E38</f>
        <v/>
      </c>
      <c r="F38" s="18">
        <f>D38-E38</f>
        <v/>
      </c>
      <c r="G38" s="19" t="n">
        <v>0.05</v>
      </c>
      <c r="H38" s="18" t="n">
        <v>5000</v>
      </c>
      <c r="I38" s="18">
        <f>MIN(D38*G38, H38)</f>
        <v/>
      </c>
      <c r="J38" s="18">
        <f>D38-I38</f>
        <v/>
      </c>
      <c r="K38" s="18">
        <f>F38*0.10</f>
        <v/>
      </c>
      <c r="L38" s="18">
        <f>F38*0.15</f>
        <v/>
      </c>
      <c r="M38" s="18">
        <f>I38*0.5</f>
        <v/>
      </c>
      <c r="N38" s="18">
        <f>I38*0.5</f>
        <v/>
      </c>
      <c r="O38" s="18">
        <f>((F38-K38)/2)-M38</f>
        <v/>
      </c>
      <c r="P38" s="18">
        <f>((F38-L38)/2)-M38</f>
        <v/>
      </c>
      <c r="Q38" s="18">
        <f>((F38-K38)/2)-N38</f>
        <v/>
      </c>
      <c r="R38" s="18">
        <f>((F38-L38)/2)-N38</f>
        <v/>
      </c>
      <c r="S38" s="18">
        <f>F38-I38</f>
        <v/>
      </c>
      <c r="T38" s="31">
        <f>IF(P38&lt;=0,"DEFICIT RISK",IF(P38&lt;1000,"TIGHT MARGIN","HEALTHY"))</f>
        <v/>
      </c>
      <c r="U38" s="8" t="inlineStr">
        <is>
          <t>Margin tebal; aman untuk promo 5% maksimal Rp5.000 dan komisi sales 10%-15%.</t>
        </is>
      </c>
    </row>
    <row r="39" ht="20" customHeight="1">
      <c r="A39" s="9">
        <f>PRICING_ANALYSIS!A39</f>
        <v/>
      </c>
      <c r="B39" s="28">
        <f>PRICING_ANALYSIS!B39</f>
        <v/>
      </c>
      <c r="C39" s="12">
        <f>PRICING_ANALYSIS!C39</f>
        <v/>
      </c>
      <c r="D39" s="21">
        <f>PRICING_ANALYSIS!F39</f>
        <v/>
      </c>
      <c r="E39" s="21">
        <f>PRICING_ANALYSIS!E39</f>
        <v/>
      </c>
      <c r="F39" s="21">
        <f>D39-E39</f>
        <v/>
      </c>
      <c r="G39" s="22" t="n">
        <v>0.05</v>
      </c>
      <c r="H39" s="21" t="n">
        <v>5000</v>
      </c>
      <c r="I39" s="21">
        <f>MIN(D39*G39, H39)</f>
        <v/>
      </c>
      <c r="J39" s="21">
        <f>D39-I39</f>
        <v/>
      </c>
      <c r="K39" s="21">
        <f>F39*0.10</f>
        <v/>
      </c>
      <c r="L39" s="21">
        <f>F39*0.15</f>
        <v/>
      </c>
      <c r="M39" s="21">
        <f>I39*0.5</f>
        <v/>
      </c>
      <c r="N39" s="21">
        <f>I39*0.5</f>
        <v/>
      </c>
      <c r="O39" s="21">
        <f>((F39-K39)/2)-M39</f>
        <v/>
      </c>
      <c r="P39" s="21">
        <f>((F39-L39)/2)-M39</f>
        <v/>
      </c>
      <c r="Q39" s="21">
        <f>((F39-K39)/2)-N39</f>
        <v/>
      </c>
      <c r="R39" s="21">
        <f>((F39-L39)/2)-N39</f>
        <v/>
      </c>
      <c r="S39" s="21">
        <f>F39-I39</f>
        <v/>
      </c>
      <c r="T39" s="31">
        <f>IF(P39&lt;=0,"DEFICIT RISK",IF(P39&lt;1000,"TIGHT MARGIN","HEALTHY"))</f>
        <v/>
      </c>
      <c r="U39" s="12" t="inlineStr">
        <is>
          <t>Margin tebal; aman untuk promo 5% maksimal Rp5.000 dan komisi sales 10%-15%.</t>
        </is>
      </c>
    </row>
    <row r="40" ht="20" customHeight="1">
      <c r="A40" s="5">
        <f>PRICING_ANALYSIS!A40</f>
        <v/>
      </c>
      <c r="B40" s="29">
        <f>PRICING_ANALYSIS!B40</f>
        <v/>
      </c>
      <c r="C40" s="8">
        <f>PRICING_ANALYSIS!C40</f>
        <v/>
      </c>
      <c r="D40" s="18">
        <f>PRICING_ANALYSIS!F40</f>
        <v/>
      </c>
      <c r="E40" s="18">
        <f>PRICING_ANALYSIS!E40</f>
        <v/>
      </c>
      <c r="F40" s="18">
        <f>D40-E40</f>
        <v/>
      </c>
      <c r="G40" s="19" t="n">
        <v>0.05</v>
      </c>
      <c r="H40" s="18" t="n">
        <v>5000</v>
      </c>
      <c r="I40" s="18">
        <f>MIN(D40*G40, H40)</f>
        <v/>
      </c>
      <c r="J40" s="18">
        <f>D40-I40</f>
        <v/>
      </c>
      <c r="K40" s="18">
        <f>F40*0.10</f>
        <v/>
      </c>
      <c r="L40" s="18">
        <f>F40*0.15</f>
        <v/>
      </c>
      <c r="M40" s="18">
        <f>I40*0.5</f>
        <v/>
      </c>
      <c r="N40" s="18">
        <f>I40*0.5</f>
        <v/>
      </c>
      <c r="O40" s="18">
        <f>((F40-K40)/2)-M40</f>
        <v/>
      </c>
      <c r="P40" s="18">
        <f>((F40-L40)/2)-M40</f>
        <v/>
      </c>
      <c r="Q40" s="18">
        <f>((F40-K40)/2)-N40</f>
        <v/>
      </c>
      <c r="R40" s="18">
        <f>((F40-L40)/2)-N40</f>
        <v/>
      </c>
      <c r="S40" s="18">
        <f>F40-I40</f>
        <v/>
      </c>
      <c r="T40" s="32">
        <f>IF(P40&lt;=0,"DEFICIT RISK",IF(P40&lt;1000,"TIGHT MARGIN","HEALTHY"))</f>
        <v/>
      </c>
      <c r="U40" s="8" t="inlineStr">
        <is>
          <t>Laba CEO/COO setelah promo tipis (&lt; Rp1.000); rekomendasikan komisi Sales maksimal 10% untuk menjaga profitabilitas.</t>
        </is>
      </c>
    </row>
    <row r="41" ht="20" customHeight="1">
      <c r="A41" s="9">
        <f>PRICING_ANALYSIS!A41</f>
        <v/>
      </c>
      <c r="B41" s="28">
        <f>PRICING_ANALYSIS!B41</f>
        <v/>
      </c>
      <c r="C41" s="12">
        <f>PRICING_ANALYSIS!C41</f>
        <v/>
      </c>
      <c r="D41" s="21">
        <f>PRICING_ANALYSIS!F41</f>
        <v/>
      </c>
      <c r="E41" s="21">
        <f>PRICING_ANALYSIS!E41</f>
        <v/>
      </c>
      <c r="F41" s="21">
        <f>D41-E41</f>
        <v/>
      </c>
      <c r="G41" s="22" t="n">
        <v>0.05</v>
      </c>
      <c r="H41" s="21" t="n">
        <v>5000</v>
      </c>
      <c r="I41" s="21">
        <f>MIN(D41*G41, H41)</f>
        <v/>
      </c>
      <c r="J41" s="21">
        <f>D41-I41</f>
        <v/>
      </c>
      <c r="K41" s="21">
        <f>F41*0.10</f>
        <v/>
      </c>
      <c r="L41" s="21">
        <f>F41*0.15</f>
        <v/>
      </c>
      <c r="M41" s="21">
        <f>I41*0.5</f>
        <v/>
      </c>
      <c r="N41" s="21">
        <f>I41*0.5</f>
        <v/>
      </c>
      <c r="O41" s="21">
        <f>((F41-K41)/2)-M41</f>
        <v/>
      </c>
      <c r="P41" s="21">
        <f>((F41-L41)/2)-M41</f>
        <v/>
      </c>
      <c r="Q41" s="21">
        <f>((F41-K41)/2)-N41</f>
        <v/>
      </c>
      <c r="R41" s="21">
        <f>((F41-L41)/2)-N41</f>
        <v/>
      </c>
      <c r="S41" s="21">
        <f>F41-I41</f>
        <v/>
      </c>
      <c r="T41" s="31">
        <f>IF(P41&lt;=0,"DEFICIT RISK",IF(P41&lt;1000,"TIGHT MARGIN","HEALTHY"))</f>
        <v/>
      </c>
      <c r="U41" s="12" t="inlineStr">
        <is>
          <t>Margin tebal; aman untuk promo 5% maksimal Rp5.000 dan komisi sales 10%-15%.</t>
        </is>
      </c>
    </row>
    <row r="42" ht="22" customHeight="1">
      <c r="A42" s="23" t="inlineStr">
        <is>
          <t>RATA-RATA</t>
        </is>
      </c>
      <c r="B42" s="30" t="inlineStr"/>
      <c r="C42" s="30" t="inlineStr"/>
      <c r="D42" s="25">
        <f>AVERAGE(D5:D41)</f>
        <v/>
      </c>
      <c r="E42" s="25">
        <f>AVERAGE(E5:E41)</f>
        <v/>
      </c>
      <c r="F42" s="25">
        <f>AVERAGE(F5:F41)</f>
        <v/>
      </c>
      <c r="G42" s="26">
        <f>AVERAGE(G5:G41)</f>
        <v/>
      </c>
      <c r="H42" s="25">
        <f>AVERAGE(H5:H41)</f>
        <v/>
      </c>
      <c r="I42" s="25">
        <f>AVERAGE(I5:I41)</f>
        <v/>
      </c>
      <c r="J42" s="25">
        <f>AVERAGE(J5:J41)</f>
        <v/>
      </c>
      <c r="K42" s="25">
        <f>AVERAGE(K5:K41)</f>
        <v/>
      </c>
      <c r="L42" s="25">
        <f>AVERAGE(L5:L41)</f>
        <v/>
      </c>
      <c r="M42" s="25">
        <f>AVERAGE(M5:M41)</f>
        <v/>
      </c>
      <c r="N42" s="25">
        <f>AVERAGE(N5:N41)</f>
        <v/>
      </c>
      <c r="O42" s="25">
        <f>AVERAGE(O5:O41)</f>
        <v/>
      </c>
      <c r="P42" s="25">
        <f>AVERAGE(P5:P41)</f>
        <v/>
      </c>
      <c r="Q42" s="25">
        <f>AVERAGE(Q5:Q41)</f>
        <v/>
      </c>
      <c r="R42" s="25">
        <f>AVERAGE(R5:R41)</f>
        <v/>
      </c>
      <c r="S42" s="25">
        <f>AVERAGE(S5:S41)</f>
        <v/>
      </c>
      <c r="T42" s="30" t="inlineStr"/>
      <c r="U42" s="30" t="inlineStr"/>
    </row>
  </sheetData>
  <mergeCells count="2">
    <mergeCell ref="A1:U1"/>
    <mergeCell ref="A2:U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6"/>
  <sheetViews>
    <sheetView showGridLines="1" workbookViewId="0">
      <selection activeCell="A1" sqref="A1"/>
    </sheetView>
  </sheetViews>
  <sheetFormatPr baseColWidth="8" defaultRowHeight="15"/>
  <cols>
    <col width="53" customWidth="1" min="1" max="1"/>
    <col width="33" customWidth="1" min="2" max="2"/>
    <col width="31" customWidth="1" min="3" max="3"/>
    <col width="64" customWidth="1" min="4" max="4"/>
    <col width="14" customWidth="1" min="5" max="5"/>
    <col width="60" customWidth="1" min="6" max="6"/>
    <col width="10" customWidth="1" min="7" max="7"/>
  </cols>
  <sheetData>
    <row r="1" ht="28" customHeight="1">
      <c r="A1" s="1" t="inlineStr">
        <is>
          <t>ASTERRA STORE — AUDIT KUALITAS DATA &amp; REKONSILIASI KATALOG AKTIF</t>
        </is>
      </c>
    </row>
    <row r="2" ht="18" customHeight="1">
      <c r="A2" s="2" t="inlineStr">
        <is>
          <t>Pemeriksaan Kelengkapan, Validitas ID, Perbandingan Ekspektasi Produk Aktif vs Database Aktual</t>
        </is>
      </c>
    </row>
    <row r="3"/>
    <row r="4">
      <c r="A4" s="3" t="inlineStr">
        <is>
          <t>1. REKONSILIASI JUMLAH PRODUK AKTIF</t>
        </is>
      </c>
    </row>
    <row r="5" ht="22" customHeight="1">
      <c r="A5" s="4" t="inlineStr">
        <is>
          <t>Parameter</t>
        </is>
      </c>
      <c r="B5" s="4" t="inlineStr">
        <is>
          <t>Nilai</t>
        </is>
      </c>
      <c r="C5" s="4" t="inlineStr">
        <is>
          <t>Status</t>
        </is>
      </c>
      <c r="D5" s="4" t="inlineStr">
        <is>
          <t>Keterangan</t>
        </is>
      </c>
    </row>
    <row r="6" ht="20" customHeight="1">
      <c r="A6" s="36" t="inlineStr">
        <is>
          <t>Expected Active Products</t>
        </is>
      </c>
      <c r="B6" s="17" t="n">
        <v>37</v>
      </c>
      <c r="C6" s="31" t="inlineStr">
        <is>
          <t>BENCHMARK</t>
        </is>
      </c>
      <c r="D6" s="37" t="inlineStr">
        <is>
          <t>Target katalog aktif website Asterra Store</t>
        </is>
      </c>
    </row>
    <row r="7" ht="20" customHeight="1">
      <c r="A7" s="38" t="inlineStr">
        <is>
          <t>Actual Active Products Found</t>
        </is>
      </c>
      <c r="B7" s="20" t="n">
        <v>37</v>
      </c>
      <c r="C7" s="31" t="inlineStr">
        <is>
          <t>MATCH</t>
        </is>
      </c>
      <c r="D7" s="39" t="inlineStr">
        <is>
          <t>Produk dengan Status Toko 'Aktif' di Database Master</t>
        </is>
      </c>
    </row>
    <row r="8" ht="20" customHeight="1">
      <c r="A8" s="36" t="inlineStr">
        <is>
          <t>Reconciliation Variance (Difference)</t>
        </is>
      </c>
      <c r="B8" s="17" t="n">
        <v>0</v>
      </c>
      <c r="C8" s="31" t="inlineStr">
        <is>
          <t>PERFECT</t>
        </is>
      </c>
      <c r="D8" s="37" t="inlineStr">
        <is>
          <t>Selisih 0 produk — 100% konsisten antara referensi &amp; database</t>
        </is>
      </c>
    </row>
    <row r="9" ht="20" customHeight="1">
      <c r="A9" s="38" t="inlineStr">
        <is>
          <t>Total Database Catalog (Master DB)</t>
        </is>
      </c>
      <c r="B9" s="20" t="n">
        <v>232</v>
      </c>
      <c r="C9" s="31" t="inlineStr">
        <is>
          <t>FULL DB</t>
        </is>
      </c>
      <c r="D9" s="39" t="inlineStr">
        <is>
          <t>37 Produk Aktif + 195 Produk Arsip (Nonaktif)</t>
        </is>
      </c>
    </row>
    <row r="10" ht="20" customHeight="1">
      <c r="A10" s="36" t="inlineStr">
        <is>
          <t>Total Active Fallback JSON (active-catalog.json)</t>
        </is>
      </c>
      <c r="B10" s="17" t="n">
        <v>245</v>
      </c>
      <c r="C10" s="31" t="inlineStr">
        <is>
          <t>SNAPSHOT</t>
        </is>
      </c>
      <c r="D10" s="37" t="inlineStr">
        <is>
          <t>File snapshot cadangan saat database offline</t>
        </is>
      </c>
    </row>
    <row r="11" ht="20" customHeight="1">
      <c r="A11" s="38" t="inlineStr">
        <is>
          <t>Produk Nonaktif / Arsip Yang Dikecualikan</t>
        </is>
      </c>
      <c r="B11" s="20" t="n">
        <v>195</v>
      </c>
      <c r="C11" s="31" t="inlineStr">
        <is>
          <t>EXCLUDED</t>
        </is>
      </c>
      <c r="D11" s="39" t="inlineStr">
        <is>
          <t>Produk arsip diabaikan dari analisis pricing sesuai instruksi</t>
        </is>
      </c>
    </row>
    <row r="12"/>
    <row r="13"/>
    <row r="14">
      <c r="A14" s="3" t="inlineStr">
        <is>
          <t>2. HASIL AUDIT KELENGKAPAN FIELD &amp; INTEGRITAS DATA</t>
        </is>
      </c>
    </row>
    <row r="15" ht="22" customHeight="1">
      <c r="A15" s="4" t="inlineStr">
        <is>
          <t>No</t>
        </is>
      </c>
      <c r="B15" s="4" t="inlineStr">
        <is>
          <t>Field Yang Diperiksa</t>
        </is>
      </c>
      <c r="C15" s="4" t="inlineStr">
        <is>
          <t>Jumlah Temuan Cacat / Kosong</t>
        </is>
      </c>
      <c r="D15" s="4" t="inlineStr">
        <is>
          <t>Toleransi</t>
        </is>
      </c>
      <c r="E15" s="4" t="inlineStr">
        <is>
          <t>Hasil Audit</t>
        </is>
      </c>
      <c r="F15" s="4" t="inlineStr">
        <is>
          <t>Catatan Kualitas</t>
        </is>
      </c>
    </row>
    <row r="16" ht="20" customHeight="1">
      <c r="A16" s="5" t="n">
        <v>1</v>
      </c>
      <c r="B16" s="8" t="inlineStr">
        <is>
          <t>Missing Product ID</t>
        </is>
      </c>
      <c r="C16" s="5" t="n">
        <v>0</v>
      </c>
      <c r="D16" s="5" t="n">
        <v>0</v>
      </c>
      <c r="E16" s="31" t="inlineStr">
        <is>
          <t>PASS</t>
        </is>
      </c>
      <c r="F16" s="8" t="inlineStr">
        <is>
          <t>100% ID terisi lengkap tanpa nilai null</t>
        </is>
      </c>
    </row>
    <row r="17" ht="20" customHeight="1">
      <c r="A17" s="9" t="n">
        <v>2</v>
      </c>
      <c r="B17" s="12" t="inlineStr">
        <is>
          <t>Duplicate Product ID</t>
        </is>
      </c>
      <c r="C17" s="9" t="n">
        <v>0</v>
      </c>
      <c r="D17" s="9" t="n">
        <v>0</v>
      </c>
      <c r="E17" s="31" t="inlineStr">
        <is>
          <t>PASS</t>
        </is>
      </c>
      <c r="F17" s="12" t="inlineStr">
        <is>
          <t>Seluruh 37 ID bersifat unik (Primary Key)</t>
        </is>
      </c>
    </row>
    <row r="18" ht="20" customHeight="1">
      <c r="A18" s="5" t="n">
        <v>3</v>
      </c>
      <c r="B18" s="8" t="inlineStr">
        <is>
          <t>Missing SKU / Code</t>
        </is>
      </c>
      <c r="C18" s="5" t="n">
        <v>0</v>
      </c>
      <c r="D18" s="5" t="n">
        <v>0</v>
      </c>
      <c r="E18" s="31" t="inlineStr">
        <is>
          <t>PASS</t>
        </is>
      </c>
      <c r="F18" s="8" t="inlineStr">
        <is>
          <t>Semua produk memiliki kode layanan provider</t>
        </is>
      </c>
    </row>
    <row r="19" ht="20" customHeight="1">
      <c r="A19" s="9" t="n">
        <v>4</v>
      </c>
      <c r="B19" s="12" t="inlineStr">
        <is>
          <t>Duplicate SKU / Code</t>
        </is>
      </c>
      <c r="C19" s="9" t="n">
        <v>0</v>
      </c>
      <c r="D19" s="9" t="n">
        <v>0</v>
      </c>
      <c r="E19" s="31" t="inlineStr">
        <is>
          <t>PASS</t>
        </is>
      </c>
      <c r="F19" s="12" t="inlineStr">
        <is>
          <t>Semua kode layanan unik</t>
        </is>
      </c>
    </row>
    <row r="20" ht="20" customHeight="1">
      <c r="A20" s="5" t="n">
        <v>5</v>
      </c>
      <c r="B20" s="8" t="inlineStr">
        <is>
          <t>Missing Product Name</t>
        </is>
      </c>
      <c r="C20" s="5" t="n">
        <v>0</v>
      </c>
      <c r="D20" s="5" t="n">
        <v>0</v>
      </c>
      <c r="E20" s="31" t="inlineStr">
        <is>
          <t>PASS</t>
        </is>
      </c>
      <c r="F20" s="8" t="inlineStr">
        <is>
          <t>Nama produk terisi lengkap dengan varian durasi &amp; garansi</t>
        </is>
      </c>
    </row>
    <row r="21" ht="20" customHeight="1">
      <c r="A21" s="9" t="n">
        <v>6</v>
      </c>
      <c r="B21" s="12" t="inlineStr">
        <is>
          <t>Missing Category</t>
        </is>
      </c>
      <c r="C21" s="9" t="n">
        <v>0</v>
      </c>
      <c r="D21" s="9" t="n">
        <v>0</v>
      </c>
      <c r="E21" s="31" t="inlineStr">
        <is>
          <t>PASS</t>
        </is>
      </c>
      <c r="F21" s="12" t="inlineStr">
        <is>
          <t>Semua produk terpetakan ke AI Tools / Apps &amp; Streaming</t>
        </is>
      </c>
    </row>
    <row r="22" ht="20" customHeight="1">
      <c r="A22" s="5" t="n">
        <v>7</v>
      </c>
      <c r="B22" s="8" t="inlineStr">
        <is>
          <t>Missing Cost Price</t>
        </is>
      </c>
      <c r="C22" s="5" t="n">
        <v>0</v>
      </c>
      <c r="D22" s="5" t="n">
        <v>0</v>
      </c>
      <c r="E22" s="31" t="inlineStr">
        <is>
          <t>PASS</t>
        </is>
      </c>
      <c r="F22" s="8" t="inlineStr">
        <is>
          <t>Harga modal pabrik tersedia valid untuk seluruh item</t>
        </is>
      </c>
    </row>
    <row r="23" ht="20" customHeight="1">
      <c r="A23" s="9" t="n">
        <v>8</v>
      </c>
      <c r="B23" s="12" t="inlineStr">
        <is>
          <t>Missing Selling Price</t>
        </is>
      </c>
      <c r="C23" s="9" t="n">
        <v>0</v>
      </c>
      <c r="D23" s="9" t="n">
        <v>0</v>
      </c>
      <c r="E23" s="31" t="inlineStr">
        <is>
          <t>PASS</t>
        </is>
      </c>
      <c r="F23" s="12" t="inlineStr">
        <is>
          <t>Harga jual Asterra Store terisi valid</t>
        </is>
      </c>
    </row>
    <row r="24" ht="20" customHeight="1">
      <c r="A24" s="5" t="n">
        <v>9</v>
      </c>
      <c r="B24" s="8" t="inlineStr">
        <is>
          <t>Invalid Price (Selling &lt; Cost)</t>
        </is>
      </c>
      <c r="C24" s="5" t="n">
        <v>0</v>
      </c>
      <c r="D24" s="5" t="n">
        <v>0</v>
      </c>
      <c r="E24" s="31" t="inlineStr">
        <is>
          <t>PASS</t>
        </is>
      </c>
      <c r="F24" s="8" t="inlineStr">
        <is>
          <t>Tidak ada produk yang dijual rugi di bawah harga modal</t>
        </is>
      </c>
    </row>
    <row r="25" ht="20" customHeight="1">
      <c r="A25" s="9" t="n">
        <v>10</v>
      </c>
      <c r="B25" s="12" t="inlineStr">
        <is>
          <t>Missing Availability Status</t>
        </is>
      </c>
      <c r="C25" s="9" t="n">
        <v>0</v>
      </c>
      <c r="D25" s="9" t="n">
        <v>0</v>
      </c>
      <c r="E25" s="31" t="inlineStr">
        <is>
          <t>PASS</t>
        </is>
      </c>
      <c r="F25" s="12" t="inlineStr">
        <is>
          <t>Status stok (Tersedia/Kosong) terdefinisi jelas</t>
        </is>
      </c>
    </row>
    <row r="26" ht="20" customHeight="1">
      <c r="A26" s="5" t="n">
        <v>11</v>
      </c>
      <c r="B26" s="8" t="inlineStr">
        <is>
          <t>Missing Display Status</t>
        </is>
      </c>
      <c r="C26" s="5" t="n">
        <v>0</v>
      </c>
      <c r="D26" s="5" t="n">
        <v>0</v>
      </c>
      <c r="E26" s="31" t="inlineStr">
        <is>
          <t>PASS</t>
        </is>
      </c>
      <c r="F26" s="8" t="inlineStr">
        <is>
          <t>Status display toko seluruhnya bernilai 'Aktif'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2026-10-02T14:15:54Z</dcterms:created>
  <dcterms:modified xmlns:dcterms="http://purl.org/dc/terms/" xmlns:xsi="http://www.w3.org/2001/XMLSchema-instance" xsi:type="dcterms:W3CDTF">2026-10-02T14:15:54Z</dcterms:modified>
</cp:coreProperties>
</file>